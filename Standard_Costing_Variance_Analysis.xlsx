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1.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56f057b0c0bdeac7/Project 2/"/>
    </mc:Choice>
  </mc:AlternateContent>
  <xr:revisionPtr revIDLastSave="1042" documentId="8_{0988784C-2E5F-4C6F-BDED-8E019C5B1F26}" xr6:coauthVersionLast="47" xr6:coauthVersionMax="47" xr10:uidLastSave="{49C44EA0-3E83-4731-A502-13B2113C4A8D}"/>
  <bookViews>
    <workbookView xWindow="-110" yWindow="-110" windowWidth="19420" windowHeight="10300" activeTab="1" xr2:uid="{CA269553-4D27-439C-A7F3-50E60EA9B692}"/>
  </bookViews>
  <sheets>
    <sheet name="01 Project Info" sheetId="1" r:id="rId1"/>
    <sheet name="02 Assumption &amp; Sources" sheetId="2" r:id="rId2"/>
    <sheet name="03 Standard Cost" sheetId="3" r:id="rId3"/>
    <sheet name="04 Actual Cost" sheetId="4" r:id="rId4"/>
    <sheet name="05 Material Variance" sheetId="6" r:id="rId5"/>
    <sheet name="06 Labour Variance" sheetId="7" r:id="rId6"/>
    <sheet name="07 Overhead Variance" sheetId="8" r:id="rId7"/>
    <sheet name="08 Variance Summary" sheetId="9" r:id="rId8"/>
    <sheet name="09 Dashboard" sheetId="10"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10" l="1"/>
  <c r="H2" i="6"/>
  <c r="B10" i="9"/>
  <c r="B11" i="9"/>
  <c r="E5" i="10"/>
  <c r="A5" i="10"/>
  <c r="B9" i="10"/>
  <c r="B17" i="9"/>
  <c r="B5" i="9"/>
  <c r="D5" i="9" s="1"/>
  <c r="E3" i="3"/>
  <c r="E4" i="3"/>
  <c r="E5" i="3"/>
  <c r="E6" i="3"/>
  <c r="E7" i="3"/>
  <c r="E2" i="3"/>
  <c r="H5" i="6"/>
  <c r="F2" i="6"/>
  <c r="F10" i="10"/>
  <c r="F11" i="10"/>
  <c r="F9" i="10"/>
  <c r="C10" i="10"/>
  <c r="C11" i="10"/>
  <c r="C9" i="10"/>
  <c r="B10" i="10"/>
  <c r="B11" i="10"/>
  <c r="B18" i="9"/>
  <c r="B12" i="9"/>
  <c r="D3" i="9"/>
  <c r="D4" i="9"/>
  <c r="C5" i="9"/>
  <c r="C4" i="9" a="1"/>
  <c r="C4" i="9" s="1"/>
  <c r="B4" i="9" a="1"/>
  <c r="B4" i="9" s="1"/>
  <c r="C3" i="9" a="1"/>
  <c r="C3" i="9" s="1"/>
  <c r="B3" i="9" a="1"/>
  <c r="B3" i="9" s="1"/>
  <c r="C2" i="9"/>
  <c r="B2" i="9"/>
  <c r="F5" i="6"/>
  <c r="D2" i="9"/>
  <c r="F3" i="6"/>
  <c r="F4" i="6"/>
  <c r="H4" i="6" s="1"/>
  <c r="H3" i="6"/>
  <c r="I2" i="8"/>
  <c r="H2" i="8"/>
  <c r="G2" i="8"/>
  <c r="E2" i="8"/>
  <c r="J2" i="7"/>
  <c r="I2" i="7"/>
  <c r="H2" i="7"/>
  <c r="G2" i="7"/>
  <c r="F2" i="7"/>
  <c r="J5" i="6"/>
  <c r="I5" i="6"/>
  <c r="G5" i="6"/>
  <c r="J3" i="6"/>
  <c r="J4" i="6"/>
  <c r="J2" i="6"/>
  <c r="I3" i="6"/>
  <c r="I4" i="6"/>
  <c r="I2" i="6"/>
  <c r="G3" i="6"/>
  <c r="G4" i="6"/>
  <c r="G2" i="6"/>
  <c r="E7" i="4"/>
  <c r="D7" i="4"/>
  <c r="E3" i="4"/>
  <c r="E4" i="4"/>
  <c r="E5" i="4"/>
  <c r="E6" i="4"/>
  <c r="E2" i="4"/>
  <c r="D3" i="4"/>
  <c r="D4" i="4"/>
  <c r="D5" i="4"/>
  <c r="D2" i="4"/>
  <c r="D7" i="3"/>
  <c r="D3" i="3"/>
  <c r="D4" i="3"/>
  <c r="D5" i="3"/>
  <c r="D6" i="3"/>
  <c r="D2" i="3"/>
  <c r="B19" i="9"/>
  <c r="B20" i="9" s="1"/>
  <c r="B21" i="9" s="1"/>
  <c r="B13" i="9" l="1"/>
  <c r="G5"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<sst xmlns="http://schemas.openxmlformats.org/spreadsheetml/2006/main" count="225" uniqueCount="142">
  <si>
    <t>Company Context</t>
  </si>
  <si>
    <t>Maruti Suzuki India Limited</t>
  </si>
  <si>
    <t>Industry</t>
  </si>
  <si>
    <t>Automobile Manufacturing</t>
  </si>
  <si>
    <t>Analysis Period</t>
  </si>
  <si>
    <t>FY 2025–26</t>
  </si>
  <si>
    <t>Model Type</t>
  </si>
  <si>
    <t>Illustrative Standard Costing Model</t>
  </si>
  <si>
    <t>Production Batch</t>
  </si>
  <si>
    <t>1,000 vehicles</t>
  </si>
  <si>
    <t>Primary Tool</t>
  </si>
  <si>
    <t>Microsoft Excel</t>
  </si>
  <si>
    <t>Analysis Areas</t>
  </si>
  <si>
    <t>Material, Labour &amp; Variable Overhead</t>
  </si>
  <si>
    <t>Project Objective</t>
  </si>
  <si>
    <t>To develop an illustrative standard-costing model for a compact passenger-vehicle manufacturing environment and analyse material, labour and overhead variances.</t>
  </si>
  <si>
    <t>Important Data Note</t>
  </si>
  <si>
    <t>Prepared By</t>
  </si>
  <si>
    <t>Nilankshi Yadav</t>
  </si>
  <si>
    <t>Project Type</t>
  </si>
  <si>
    <t>Finance &amp; Cost Accounting Portfolio Project</t>
  </si>
  <si>
    <t>Publicly available Maruti Suzuki information is used for company and industry context. 
Detailed standard and actual cost figures are illustrative assumptions developed for educational 
and portfolio modelling purposes and do not represent Maruti Suzuki's confidential internal cost data.</t>
  </si>
  <si>
    <t>KEY MODEL OUTPUTS</t>
  </si>
  <si>
    <t>Standard Cost</t>
  </si>
  <si>
    <t>Actual Cost</t>
  </si>
  <si>
    <t>Overall Cost Variance</t>
  </si>
  <si>
    <t>Variance per Vehicle</t>
  </si>
  <si>
    <t>₹                                    32,65,000 Adverse</t>
  </si>
  <si>
    <t>₹                                           3,265 Adverse</t>
  </si>
  <si>
    <r>
      <rPr>
        <b/>
        <sz val="18"/>
        <color theme="1"/>
        <rFont val="Calibri"/>
        <family val="2"/>
        <scheme val="minor"/>
      </rPr>
      <t>STANDARD COSTING &amp; VARIANCE ANALYSIS</t>
    </r>
    <r>
      <rPr>
        <b/>
        <sz val="16"/>
        <color theme="1"/>
        <rFont val="Calibri"/>
        <family val="2"/>
        <scheme val="minor"/>
      </rPr>
      <t xml:space="preserve">
</t>
    </r>
    <r>
      <rPr>
        <b/>
        <i/>
        <sz val="14"/>
        <color theme="1"/>
        <rFont val="Calibri"/>
        <family val="2"/>
        <scheme val="minor"/>
      </rPr>
      <t>Illustrative Automobile Manufacturing Case Study</t>
    </r>
  </si>
  <si>
    <t>Category</t>
  </si>
  <si>
    <t>Variable</t>
  </si>
  <si>
    <t>Standard / Base Value</t>
  </si>
  <si>
    <t>Actual Value</t>
  </si>
  <si>
    <t>Unit</t>
  </si>
  <si>
    <t>Data Classification</t>
  </si>
  <si>
    <t>Basis / Source</t>
  </si>
  <si>
    <t>Notes</t>
  </si>
  <si>
    <t>Production</t>
  </si>
  <si>
    <t>Material</t>
  </si>
  <si>
    <t>Labour</t>
  </si>
  <si>
    <t>Overhead</t>
  </si>
  <si>
    <t>Production batch</t>
  </si>
  <si>
    <t>Steel quantity</t>
  </si>
  <si>
    <t>Steel price</t>
  </si>
  <si>
    <t>Powertrain &amp; mechanical components</t>
  </si>
  <si>
    <t>Electrical &amp; electronic components</t>
  </si>
  <si>
    <t>Direct labour hours</t>
  </si>
  <si>
    <t>Labour rate</t>
  </si>
  <si>
    <t>Variable overhead rate</t>
  </si>
  <si>
    <t>Actual variable overhead</t>
  </si>
  <si>
    <t>Vehicles</t>
  </si>
  <si>
    <t>Modelling assumption</t>
  </si>
  <si>
    <t>kg/vehicle</t>
  </si>
  <si>
    <t>₹/kg</t>
  </si>
  <si>
    <t>₹/vehicle</t>
  </si>
  <si>
    <t>Hours/vehicle</t>
  </si>
  <si>
    <t>₹/hour</t>
  </si>
  <si>
    <t>₹/labour hour</t>
  </si>
  <si>
    <t>₹/batch</t>
  </si>
  <si>
    <t>Industry-informed assumption</t>
  </si>
  <si>
    <t>Benchmark + modelling assumption</t>
  </si>
  <si>
    <t>Illustrative assumption</t>
  </si>
  <si>
    <t>Benchmark-informed assumption</t>
  </si>
  <si>
    <t>FY2025–26 production</t>
  </si>
  <si>
    <t>Value</t>
  </si>
  <si>
    <t>2,340,000+ vehicles</t>
  </si>
  <si>
    <t>FY2025–26 total sales</t>
  </si>
  <si>
    <t>2,422,713 vehicles</t>
  </si>
  <si>
    <t>FY2025–26 net sales</t>
  </si>
  <si>
    <t>₹1,743,695 million</t>
  </si>
  <si>
    <t>FY2025–26 net profit</t>
  </si>
  <si>
    <t>₹144,454 million</t>
  </si>
  <si>
    <t>Cost Component</t>
  </si>
  <si>
    <t>Standard Quantity</t>
  </si>
  <si>
    <t>Standard Rate</t>
  </si>
  <si>
    <t>Cost per Vehicle</t>
  </si>
  <si>
    <t>Steel / Sheet Metal</t>
  </si>
  <si>
    <t>Powertrain &amp; Mechanical</t>
  </si>
  <si>
    <t>Electrical &amp; Electronics</t>
  </si>
  <si>
    <t>Direct Labour</t>
  </si>
  <si>
    <t>Variable Overhead</t>
  </si>
  <si>
    <t>TOTAL</t>
  </si>
  <si>
    <t>Actual Quantity</t>
  </si>
  <si>
    <t>Actual Rate</t>
  </si>
  <si>
    <t>Total</t>
  </si>
  <si>
    <t>Variance</t>
  </si>
  <si>
    <t>Cost Variance</t>
  </si>
  <si>
    <t>Price Variance</t>
  </si>
  <si>
    <t>Usage Variance</t>
  </si>
  <si>
    <t>Standard Hours</t>
  </si>
  <si>
    <t>Actual Hours</t>
  </si>
  <si>
    <t>Rate Variance</t>
  </si>
  <si>
    <t>Efficiency Variance</t>
  </si>
  <si>
    <t>Labour Cost Variance</t>
  </si>
  <si>
    <t>Standard Overhead</t>
  </si>
  <si>
    <t>Actual Overhead</t>
  </si>
  <si>
    <t>Expenditure Variance</t>
  </si>
  <si>
    <t>Cost Area</t>
  </si>
  <si>
    <t>Variance Type</t>
  </si>
  <si>
    <t>Amount</t>
  </si>
  <si>
    <t>Result</t>
  </si>
  <si>
    <t>Material Variance</t>
  </si>
  <si>
    <t>Adverse</t>
  </si>
  <si>
    <t>Labour Variance</t>
  </si>
  <si>
    <t>Overhead Variance</t>
  </si>
  <si>
    <t>Favourable</t>
  </si>
  <si>
    <t>Overall Variance</t>
  </si>
  <si>
    <t>RECONCILIATION CHECK</t>
  </si>
  <si>
    <t>Difference</t>
  </si>
  <si>
    <t>Absolute Variance</t>
  </si>
  <si>
    <t>Reconciliation Status</t>
  </si>
  <si>
    <t>STANDARD COSTING &amp; VARIANCE ANALYSIS DASHBOARD</t>
  </si>
  <si>
    <t>Illustrative Automobile Manufacturing Case Study — FY 2025–26</t>
  </si>
  <si>
    <t>Variance / Vehicle</t>
  </si>
  <si>
    <t>Status</t>
  </si>
  <si>
    <t>Key Findings</t>
  </si>
  <si>
    <t>1. Material costs generated the largest adverse variance of ₹30.80 lakh.</t>
  </si>
  <si>
    <t>2. Labour efficiency was favourable by ₹1.50 lakh, but the higher labour rate created a ₹4.35 lakh adverse rate variance.</t>
  </si>
  <si>
    <t>3. Variable overhead was ₹1.00 lakh favourable.</t>
  </si>
  <si>
    <t>4. Overall actual cost exceeded standard cost by ₹32.65 lakh, equivalent to ₹3,265 per vehicle.</t>
  </si>
  <si>
    <r>
      <rPr>
        <b/>
        <sz val="11"/>
        <color theme="1"/>
        <rFont val="Calibri"/>
        <family val="2"/>
        <scheme val="minor"/>
      </rPr>
      <t xml:space="preserve">Note: </t>
    </r>
    <r>
      <rPr>
        <sz val="11"/>
        <color theme="1"/>
        <rFont val="Calibri"/>
        <family val="2"/>
        <scheme val="minor"/>
      </rPr>
      <t>Company information is based on publicly available Maruti Suzuki information. Detailed standard and actual cost inputs are
 illustrative modelling assumptions developed for portfolio/educational purposes and do not represent confidential 
Maruti Suzuki internal cost data.</t>
    </r>
  </si>
  <si>
    <t>Portfolio modelling assumption</t>
  </si>
  <si>
    <t>Automotive-sector compensation benchmark 
+ modelling assumption</t>
  </si>
  <si>
    <t>Government of India, Ministry of Steel /
 JPC steel-price data</t>
  </si>
  <si>
    <t>1,000-vehicle sample batch used to demonstrate standard costing; not Maruti's actual production batch.</t>
  </si>
  <si>
    <t>Public sources do not disclose Maruti's internal component procurement cost; ₹75,000 is illustrative.</t>
  </si>
  <si>
    <t>Public sources do not disclose Maruti's internal component procurement cost; ₹25,000 is illustrative.</t>
  </si>
  <si>
    <t>15 hours/vehicle represents an illustrative direct-labour standard; not a disclosed Maruti production figure.</t>
  </si>
  <si>
    <t>₹125/hour used as an illustrative overhead absorption rate.</t>
  </si>
  <si>
    <t>₹17.75 lakh represents illustrative actual expenditure for the 1,000-vehicle model.</t>
  </si>
  <si>
    <t>500 kg/vehicle is an illustrative steel-equivalent assumption;
 Maruti does not publicly disclose model-level steel consumption.</t>
  </si>
  <si>
    <t>₹55/kg used as a benchmark-informed standard input; 
not Maruti's actual procurement price.</t>
  </si>
  <si>
    <t>₹300/hour is an illustrative fully loaded labour rate; 
not Maruti's disclosed employee cost.</t>
  </si>
  <si>
    <t>Maruti Suzuki India Limited — FY2025–26 production release</t>
  </si>
  <si>
    <t>Actual company-reported production of over 23.4 lakh vehicles.</t>
  </si>
  <si>
    <t>Maruti Suzuki India Limited — FY2025–26 financial results</t>
  </si>
  <si>
    <t>Actual company-reported total sales of 2,422,713 vehicles.</t>
  </si>
  <si>
    <t>Actual company-reported net sales of ₹1,743,695 million.</t>
  </si>
  <si>
    <t>Actual company-reported net profit of ₹144,454 million.</t>
  </si>
  <si>
    <t>Industry-informed modelling assumption; vehicle weight used only as contextual reference</t>
  </si>
  <si>
    <t>ADVERSE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</si>
</sst>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00"/>
  </numFmts>
  <fonts count="7" x14ac:knownFonts="1">
    <font>
      <sz val="11"/>
      <color theme="1"/>
      <name val="Calibri"/>
      <family val="2"/>
      <scheme val="minor"/>
    </font>
    <font>
      <b/>
      <sz val="11"/>
      <color theme="1"/>
      <name val="Calibri"/>
      <family val="2"/>
      <scheme val="minor"/>
    </font>
    <font>
      <b/>
      <sz val="12"/>
      <color theme="1"/>
      <name val="Calibri"/>
      <family val="2"/>
      <scheme val="minor"/>
    </font>
    <font>
      <b/>
      <sz val="16"/>
      <color theme="1"/>
      <name val="Calibri"/>
      <family val="2"/>
      <scheme val="minor"/>
    </font>
    <font>
      <b/>
      <i/>
      <sz val="14"/>
      <color theme="1"/>
      <name val="Calibri"/>
      <family val="2"/>
      <scheme val="minor"/>
    </font>
    <font>
      <b/>
      <sz val="18"/>
      <color theme="1"/>
      <name val="Calibri"/>
      <family val="2"/>
      <scheme val="minor"/>
    </font>
    <font>
      <i/>
      <sz val="12"/>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3" tint="0.39997558519241921"/>
        <bgColor indexed="64"/>
      </patternFill>
    </fill>
  </fills>
  <borders count="7">
    <border>
      <left/>
      <right/>
      <top/>
      <bottom/>
      <diagonal/>
    </border>
    <border>
      <left style="mediumDashed">
        <color indexed="64"/>
      </left>
      <right style="mediumDashed">
        <color indexed="64"/>
      </right>
      <top/>
      <bottom/>
      <diagonal/>
    </border>
    <border>
      <left style="mediumDashed">
        <color indexed="64"/>
      </left>
      <right style="mediumDashed">
        <color indexed="64"/>
      </right>
      <top style="medium">
        <color indexed="64"/>
      </top>
      <bottom/>
      <diagonal/>
    </border>
    <border>
      <left style="mediumDashed">
        <color indexed="64"/>
      </left>
      <right style="mediumDashed">
        <color indexed="64"/>
      </right>
      <top/>
      <bottom style="medium">
        <color indexed="64"/>
      </bottom>
      <diagonal/>
    </border>
    <border>
      <left/>
      <right/>
      <top style="thin">
        <color theme="0" tint="-0.249977111117893"/>
      </top>
      <bottom/>
      <diagonal/>
    </border>
    <border>
      <left/>
      <right/>
      <top style="thin">
        <color theme="0" tint="-0.249977111117893"/>
      </top>
      <bottom style="thin">
        <color theme="0" tint="-0.249977111117893"/>
      </bottom>
      <diagonal/>
    </border>
    <border>
      <left/>
      <right/>
      <top/>
      <bottom style="thin">
        <color theme="0" tint="-0.249977111117893"/>
      </bottom>
      <diagonal/>
    </border>
  </borders>
  <cellStyleXfs count="1">
    <xf numFmtId="0" fontId="0" fillId="0" borderId="0"/>
  </cellStyleXfs>
  <cellXfs count="50">
    <xf numFmtId="0" fontId="0" fillId="0" borderId="0" xfId="0"/>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wrapText="1"/>
    </xf>
    <xf numFmtId="0" fontId="1" fillId="0" borderId="0" xfId="0" applyFont="1"/>
    <xf numFmtId="0" fontId="2" fillId="0" borderId="0" xfId="0" applyFont="1"/>
    <xf numFmtId="44" fontId="0" fillId="0" borderId="0" xfId="0" applyNumberFormat="1"/>
    <xf numFmtId="0" fontId="1" fillId="0" borderId="0" xfId="0" applyFont="1" applyAlignment="1">
      <alignment wrapText="1"/>
    </xf>
    <xf numFmtId="0" fontId="1" fillId="0" borderId="0" xfId="0" applyFont="1" applyAlignment="1">
      <alignment horizontal="left" vertical="center" wrapText="1"/>
    </xf>
    <xf numFmtId="0" fontId="0" fillId="0" borderId="0" xfId="0" applyAlignment="1">
      <alignment horizontal="right" wrapText="1"/>
    </xf>
    <xf numFmtId="1" fontId="0" fillId="0" borderId="0" xfId="0" applyNumberFormat="1"/>
    <xf numFmtId="0" fontId="1" fillId="0" borderId="0" xfId="0" applyFont="1" applyAlignment="1">
      <alignment horizontal="left" wrapText="1"/>
    </xf>
    <xf numFmtId="0" fontId="0" fillId="0" borderId="0" xfId="0" applyAlignment="1">
      <alignment horizontal="left" wrapText="1"/>
    </xf>
    <xf numFmtId="1" fontId="0" fillId="0" borderId="0" xfId="0" applyNumberFormat="1" applyAlignment="1">
      <alignment horizontal="right" wrapText="1"/>
    </xf>
    <xf numFmtId="3" fontId="0" fillId="0" borderId="0" xfId="0" applyNumberFormat="1" applyAlignment="1">
      <alignment horizontal="right" vertical="center" wrapText="1"/>
    </xf>
    <xf numFmtId="0" fontId="1" fillId="0" borderId="0" xfId="0" applyFont="1" applyAlignment="1">
      <alignment horizontal="left"/>
    </xf>
    <xf numFmtId="164" fontId="0" fillId="0" borderId="0" xfId="0" applyNumberFormat="1" applyAlignment="1">
      <alignment horizontal="right" wrapText="1"/>
    </xf>
    <xf numFmtId="0" fontId="1" fillId="0" borderId="0" xfId="0" applyFont="1" applyAlignment="1">
      <alignment horizontal="center" vertical="center" wrapText="1"/>
    </xf>
    <xf numFmtId="0" fontId="1" fillId="0" borderId="0" xfId="0" applyFont="1" applyAlignment="1">
      <alignment horizontal="right" vertical="center" wrapText="1"/>
    </xf>
    <xf numFmtId="0" fontId="0" fillId="0" borderId="0" xfId="0" applyAlignment="1">
      <alignment horizontal="left" vertical="center" wrapText="1"/>
    </xf>
    <xf numFmtId="164" fontId="0" fillId="0" borderId="0" xfId="0" applyNumberFormat="1" applyAlignment="1">
      <alignment horizontal="right" vertical="center" wrapText="1"/>
    </xf>
    <xf numFmtId="164" fontId="0" fillId="0" borderId="0" xfId="0" applyNumberFormat="1"/>
    <xf numFmtId="164" fontId="1" fillId="0" borderId="0" xfId="0" applyNumberFormat="1" applyFont="1" applyAlignment="1">
      <alignment horizontal="right" vertical="center" wrapText="1"/>
    </xf>
    <xf numFmtId="0" fontId="1" fillId="3" borderId="0" xfId="0" applyFont="1" applyFill="1"/>
    <xf numFmtId="0" fontId="1" fillId="3" borderId="4" xfId="0" applyFont="1" applyFill="1" applyBorder="1"/>
    <xf numFmtId="0" fontId="1" fillId="3" borderId="5" xfId="0" applyFont="1" applyFill="1" applyBorder="1"/>
    <xf numFmtId="0" fontId="0" fillId="0" borderId="4" xfId="0" applyBorder="1"/>
    <xf numFmtId="0" fontId="0" fillId="2" borderId="0" xfId="0" applyFill="1"/>
    <xf numFmtId="0" fontId="0" fillId="2" borderId="6" xfId="0" applyFill="1" applyBorder="1"/>
    <xf numFmtId="0" fontId="0" fillId="2" borderId="5" xfId="0" applyFill="1" applyBorder="1"/>
    <xf numFmtId="0" fontId="0" fillId="2" borderId="4" xfId="0" applyFill="1" applyBorder="1"/>
    <xf numFmtId="0" fontId="0" fillId="0" borderId="6" xfId="0" applyBorder="1"/>
    <xf numFmtId="0" fontId="0" fillId="2" borderId="0" xfId="0" applyFill="1" applyAlignment="1">
      <alignment vertical="center" wrapText="1"/>
    </xf>
    <xf numFmtId="0" fontId="0" fillId="2" borderId="0" xfId="0" applyFill="1" applyAlignment="1">
      <alignment wrapText="1"/>
    </xf>
    <xf numFmtId="0" fontId="1" fillId="3" borderId="0" xfId="0" applyFont="1" applyFill="1" applyAlignment="1">
      <alignment vertical="center" wrapText="1"/>
    </xf>
    <xf numFmtId="0" fontId="1" fillId="3" borderId="4" xfId="0" applyFont="1" applyFill="1" applyBorder="1" applyAlignment="1">
      <alignment vertical="center" wrapText="1"/>
    </xf>
    <xf numFmtId="0" fontId="0" fillId="2" borderId="4" xfId="0" applyFill="1" applyBorder="1" applyAlignment="1">
      <alignment vertical="center" wrapText="1"/>
    </xf>
    <xf numFmtId="0" fontId="1" fillId="3" borderId="6" xfId="0" applyFont="1" applyFill="1" applyBorder="1"/>
    <xf numFmtId="0" fontId="2" fillId="3" borderId="0" xfId="0" applyFont="1" applyFill="1" applyAlignment="1">
      <alignment horizontal="left" vertical="center" indent="1"/>
    </xf>
    <xf numFmtId="0" fontId="6" fillId="0" borderId="0" xfId="0" applyFont="1" applyAlignment="1">
      <alignment horizontal="left" vertical="center" indent="1"/>
    </xf>
    <xf numFmtId="0" fontId="0" fillId="0" borderId="0" xfId="0"/>
    <xf numFmtId="0" fontId="0" fillId="0" borderId="2" xfId="0" applyBorder="1" applyAlignment="1">
      <alignment horizontal="center"/>
    </xf>
    <xf numFmtId="164" fontId="0" fillId="0" borderId="1" xfId="0" applyNumberFormat="1" applyBorder="1" applyAlignment="1">
      <alignment horizontal="center"/>
    </xf>
    <xf numFmtId="0" fontId="0" fillId="0" borderId="3" xfId="0" applyBorder="1" applyAlignment="1">
      <alignment horizontal="center"/>
    </xf>
    <xf numFmtId="0" fontId="0" fillId="0" borderId="3" xfId="0" applyBorder="1" applyAlignment="1">
      <alignment horizontal="center" wrapText="1"/>
    </xf>
    <xf numFmtId="0" fontId="0" fillId="0" borderId="2" xfId="0" applyBorder="1" applyAlignment="1">
      <alignment horizontal="center" wrapText="1"/>
    </xf>
    <xf numFmtId="164" fontId="0" fillId="0" borderId="1" xfId="0" applyNumberFormat="1" applyBorder="1" applyAlignment="1">
      <alignment horizontal="center" wrapText="1"/>
    </xf>
    <xf numFmtId="0" fontId="0" fillId="0" borderId="0" xfId="0" applyAlignment="1">
      <alignment wrapText="1"/>
    </xf>
    <xf numFmtId="0" fontId="3" fillId="4" borderId="0" xfId="0" applyFont="1" applyFill="1" applyAlignment="1">
      <alignment horizontal="center" wrapText="1"/>
    </xf>
    <xf numFmtId="0" fontId="3" fillId="4" borderId="0" xfId="0" applyFont="1" applyFill="1" applyAlignment="1">
      <alignment horizontal="center"/>
    </xf>
  </cellXfs>
  <cellStyles count="1">
    <cellStyle name="Normal" xfId="0" builtinId="0"/>
  </cellStyles>
  <dxfs count="56">
    <dxf>
      <font>
        <color rgb="FF006100"/>
      </font>
      <fill>
        <patternFill>
          <bgColor rgb="FFC6EFCE"/>
        </patternFill>
      </fill>
    </dxf>
    <dxf>
      <font>
        <color rgb="FF9C0006"/>
      </font>
      <fill>
        <patternFill>
          <bgColor rgb="FFFFC7CE"/>
        </patternFill>
      </fill>
    </dxf>
    <dxf>
      <alignment horizontal="general" vertical="center" textRotation="0" wrapText="1" indent="0" justifyLastLine="0" shrinkToFit="0" readingOrder="0"/>
    </dxf>
    <dxf>
      <numFmt numFmtId="164" formatCode="&quot;₹&quot;\ #,##0.00"/>
    </dxf>
    <dxf>
      <alignment horizontal="general" vertical="center" textRotation="0" wrapText="1" indent="0" justifyLastLine="0" shrinkToFit="0" readingOrder="0"/>
    </dxf>
    <dxf>
      <alignment horizontal="left" vertical="center" textRotation="0" wrapText="1" indent="0" justifyLastLine="0" shrinkToFit="0" readingOrder="0"/>
    </dxf>
    <dxf>
      <numFmt numFmtId="164" formatCode="&quot;₹&quot;\ #,##0.00"/>
      <alignment horizontal="right" vertical="center" textRotation="0" wrapText="1" indent="0" justifyLastLine="0" shrinkToFit="0" readingOrder="0"/>
    </dxf>
    <dxf>
      <numFmt numFmtId="164" formatCode="&quot;₹&quot;\ #,##0.00"/>
      <alignment horizontal="right" vertical="center" textRotation="0" wrapText="1" indent="0" justifyLastLine="0" shrinkToFit="0" readingOrder="0"/>
    </dxf>
    <dxf>
      <alignment horizontal="general" vertical="center" textRotation="0" wrapText="1" indent="0" justifyLastLine="0" shrinkToFit="0" readingOrder="0"/>
    </dxf>
    <dxf>
      <alignment horizontal="left" vertical="center" textRotation="0" wrapText="1" indent="0" justifyLastLine="0" shrinkToFit="0" readingOrder="0"/>
    </dxf>
    <dxf>
      <alignment horizontal="general" vertical="center" textRotation="0" wrapText="1" indent="0" justifyLastLine="0" shrinkToFit="0" readingOrder="0"/>
    </dxf>
    <dxf>
      <numFmt numFmtId="164" formatCode="&quot;₹&quot;\ #,##0.00"/>
      <alignment horizontal="right" vertical="center" textRotation="0" wrapText="1" indent="0" justifyLastLine="0" shrinkToFit="0" readingOrder="0"/>
    </dxf>
    <dxf>
      <alignment horizontal="general" vertical="center" textRotation="0" wrapText="1" indent="0" justifyLastLine="0" shrinkToFit="0" readingOrder="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font>
        <b/>
        <i val="0"/>
        <strike val="0"/>
        <condense val="0"/>
        <extend val="0"/>
        <outline val="0"/>
        <shadow val="0"/>
        <u val="none"/>
        <vertAlign val="baseline"/>
        <sz val="11"/>
        <color theme="1"/>
        <name val="Calibri"/>
        <family val="2"/>
        <scheme val="minor"/>
      </font>
    </dxf>
    <dxf>
      <numFmt numFmtId="164" formatCode="&quot;₹&quot;\ #,##0.00"/>
    </dxf>
    <dxf>
      <numFmt numFmtId="164" formatCode="&quot;₹&quot;\ #,##0.00"/>
    </dxf>
    <dxf>
      <font>
        <b val="0"/>
        <i val="0"/>
        <strike val="0"/>
        <condense val="0"/>
        <extend val="0"/>
        <outline val="0"/>
        <shadow val="0"/>
        <u val="none"/>
        <vertAlign val="baseline"/>
        <sz val="11"/>
        <color theme="1"/>
        <name val="Calibri"/>
        <family val="2"/>
        <scheme val="minor"/>
      </font>
      <numFmt numFmtId="164" formatCode="&quot;₹&quot;\ #,##0.00"/>
      <alignment horizontal="righ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 formatCode="#,##0"/>
      <alignment horizontal="right" vertical="center" textRotation="0" wrapText="1" indent="0" justifyLastLine="0" shrinkToFit="0" readingOrder="0"/>
    </dxf>
    <dxf>
      <alignment horizontal="general" vertical="center" textRotation="0" wrapText="1" indent="0" justifyLastLine="0" shrinkToFit="0" readingOrder="0"/>
    </dxf>
    <dxf>
      <alignment horizontal="left" textRotation="0" indent="0" justifyLastLine="0" shrinkToFit="0" readingOrder="0"/>
    </dxf>
    <dxf>
      <font>
        <b val="0"/>
        <i val="0"/>
        <strike val="0"/>
        <condense val="0"/>
        <extend val="0"/>
        <outline val="0"/>
        <shadow val="0"/>
        <u val="none"/>
        <vertAlign val="baseline"/>
        <sz val="11"/>
        <color theme="1"/>
        <name val="Calibri"/>
        <family val="2"/>
        <scheme val="minor"/>
      </font>
      <numFmt numFmtId="164" formatCode="&quot;₹&quot;\ #,##0.00"/>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4" formatCode="&quot;₹&quot;\ #,##0.00"/>
      <alignment horizontal="right" vertical="bottom" textRotation="0" wrapText="1" indent="0" justifyLastLine="0" shrinkToFit="0" readingOrder="0"/>
    </dxf>
    <dxf>
      <numFmt numFmtId="164" formatCode="&quot;₹&quot;\ #,##0.00"/>
      <alignment horizontal="right" vertical="bottom" textRotation="0" wrapText="1" indent="0" justifyLastLine="0" shrinkToFit="0" readingOrder="0"/>
    </dxf>
    <dxf>
      <numFmt numFmtId="1" formatCode="0"/>
      <alignment horizontal="right" vertical="bottom" textRotation="0" wrapText="1" indent="0" justifyLastLine="0" shrinkToFit="0" readingOrder="0"/>
    </dxf>
    <dxf>
      <alignment horizontal="left"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1" formatCode="0"/>
    </dxf>
    <dxf>
      <numFmt numFmtId="1" formatCode="0"/>
    </dxf>
    <dxf>
      <numFmt numFmtId="34" formatCode="_ &quot;₹&quot;\ * #,##0.00_ ;_ &quot;₹&quot;\ * \-#,##0.00_ ;_ &quot;₹&quot;\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Standard vs Actual Cost by Cost Area</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'09 Dashboard'!$A$9</c:f>
              <c:strCache>
                <c:ptCount val="1"/>
                <c:pt idx="0">
                  <c:v>Material</c:v>
                </c:pt>
              </c:strCache>
            </c:strRef>
          </c:tx>
          <c:spPr>
            <a:solidFill>
              <a:schemeClr val="accent1"/>
            </a:solidFill>
            <a:ln>
              <a:noFill/>
            </a:ln>
            <a:effectLst/>
          </c:spPr>
          <c:invertIfNegative val="0"/>
          <c:cat>
            <c:strRef>
              <c:f>'09 Dashboard'!$B$8:$C$8</c:f>
              <c:strCache>
                <c:ptCount val="2"/>
                <c:pt idx="0">
                  <c:v>Standard Cost</c:v>
                </c:pt>
                <c:pt idx="1">
                  <c:v>Actual Cost</c:v>
                </c:pt>
              </c:strCache>
            </c:strRef>
          </c:cat>
          <c:val>
            <c:numRef>
              <c:f>'09 Dashboard'!$B$9:$C$9</c:f>
              <c:numCache>
                <c:formatCode>"₹"\ #,##0.00</c:formatCode>
                <c:ptCount val="2"/>
                <c:pt idx="0">
                  <c:v>127500000</c:v>
                </c:pt>
                <c:pt idx="1">
                  <c:v>130580000</c:v>
                </c:pt>
              </c:numCache>
            </c:numRef>
          </c:val>
          <c:extLst>
            <c:ext xmlns:c16="http://schemas.microsoft.com/office/drawing/2014/chart" uri="{C3380CC4-5D6E-409C-BE32-E72D297353CC}">
              <c16:uniqueId val="{00000000-5B95-428C-BE53-EA5DB82BF731}"/>
            </c:ext>
          </c:extLst>
        </c:ser>
        <c:ser>
          <c:idx val="1"/>
          <c:order val="1"/>
          <c:tx>
            <c:strRef>
              <c:f>'09 Dashboard'!$A$10</c:f>
              <c:strCache>
                <c:ptCount val="1"/>
                <c:pt idx="0">
                  <c:v>Direct Labour</c:v>
                </c:pt>
              </c:strCache>
            </c:strRef>
          </c:tx>
          <c:spPr>
            <a:solidFill>
              <a:schemeClr val="accent2"/>
            </a:solidFill>
            <a:ln>
              <a:noFill/>
            </a:ln>
            <a:effectLst/>
          </c:spPr>
          <c:invertIfNegative val="0"/>
          <c:cat>
            <c:strRef>
              <c:f>'09 Dashboard'!$B$8:$C$8</c:f>
              <c:strCache>
                <c:ptCount val="2"/>
                <c:pt idx="0">
                  <c:v>Standard Cost</c:v>
                </c:pt>
                <c:pt idx="1">
                  <c:v>Actual Cost</c:v>
                </c:pt>
              </c:strCache>
            </c:strRef>
          </c:cat>
          <c:val>
            <c:numRef>
              <c:f>'09 Dashboard'!$B$10:$C$10</c:f>
              <c:numCache>
                <c:formatCode>"₹"\ #,##0.00</c:formatCode>
                <c:ptCount val="2"/>
                <c:pt idx="0">
                  <c:v>4500000</c:v>
                </c:pt>
                <c:pt idx="1">
                  <c:v>4785000</c:v>
                </c:pt>
              </c:numCache>
            </c:numRef>
          </c:val>
          <c:extLst>
            <c:ext xmlns:c16="http://schemas.microsoft.com/office/drawing/2014/chart" uri="{C3380CC4-5D6E-409C-BE32-E72D297353CC}">
              <c16:uniqueId val="{00000001-5B95-428C-BE53-EA5DB82BF731}"/>
            </c:ext>
          </c:extLst>
        </c:ser>
        <c:ser>
          <c:idx val="2"/>
          <c:order val="2"/>
          <c:tx>
            <c:strRef>
              <c:f>'09 Dashboard'!$A$11</c:f>
              <c:strCache>
                <c:ptCount val="1"/>
                <c:pt idx="0">
                  <c:v>Variable Overhead</c:v>
                </c:pt>
              </c:strCache>
            </c:strRef>
          </c:tx>
          <c:spPr>
            <a:solidFill>
              <a:schemeClr val="accent3"/>
            </a:solidFill>
            <a:ln>
              <a:noFill/>
            </a:ln>
            <a:effectLst/>
          </c:spPr>
          <c:invertIfNegative val="0"/>
          <c:cat>
            <c:strRef>
              <c:f>'09 Dashboard'!$B$8:$C$8</c:f>
              <c:strCache>
                <c:ptCount val="2"/>
                <c:pt idx="0">
                  <c:v>Standard Cost</c:v>
                </c:pt>
                <c:pt idx="1">
                  <c:v>Actual Cost</c:v>
                </c:pt>
              </c:strCache>
            </c:strRef>
          </c:cat>
          <c:val>
            <c:numRef>
              <c:f>'09 Dashboard'!$B$11:$C$11</c:f>
              <c:numCache>
                <c:formatCode>"₹"\ #,##0.00</c:formatCode>
                <c:ptCount val="2"/>
                <c:pt idx="0">
                  <c:v>1875000</c:v>
                </c:pt>
                <c:pt idx="1">
                  <c:v>1775000</c:v>
                </c:pt>
              </c:numCache>
            </c:numRef>
          </c:val>
          <c:extLst>
            <c:ext xmlns:c16="http://schemas.microsoft.com/office/drawing/2014/chart" uri="{C3380CC4-5D6E-409C-BE32-E72D297353CC}">
              <c16:uniqueId val="{00000002-5B95-428C-BE53-EA5DB82BF731}"/>
            </c:ext>
          </c:extLst>
        </c:ser>
        <c:dLbls>
          <c:showLegendKey val="0"/>
          <c:showVal val="0"/>
          <c:showCatName val="0"/>
          <c:showSerName val="0"/>
          <c:showPercent val="0"/>
          <c:showBubbleSize val="0"/>
        </c:dLbls>
        <c:gapWidth val="219"/>
        <c:overlap val="-27"/>
        <c:axId val="1888745632"/>
        <c:axId val="1834600592"/>
      </c:barChart>
      <c:catAx>
        <c:axId val="188874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600592"/>
        <c:crosses val="autoZero"/>
        <c:auto val="1"/>
        <c:lblAlgn val="ctr"/>
        <c:lblOffset val="100"/>
        <c:noMultiLvlLbl val="0"/>
      </c:catAx>
      <c:valAx>
        <c:axId val="18346005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745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Cost Variance by Cost Area</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'09 Dashboard'!$E$9</c:f>
              <c:strCache>
                <c:ptCount val="1"/>
                <c:pt idx="0">
                  <c:v>Material</c:v>
                </c:pt>
              </c:strCache>
            </c:strRef>
          </c:tx>
          <c:spPr>
            <a:solidFill>
              <a:schemeClr val="accent1"/>
            </a:solidFill>
            <a:ln>
              <a:noFill/>
            </a:ln>
            <a:effectLst/>
          </c:spPr>
          <c:invertIfNegative val="0"/>
          <c:cat>
            <c:strRef>
              <c:f>'09 Dashboard'!$F$8:$G$8</c:f>
              <c:strCache>
                <c:ptCount val="2"/>
                <c:pt idx="0">
                  <c:v>Variance</c:v>
                </c:pt>
                <c:pt idx="1">
                  <c:v>Status</c:v>
                </c:pt>
              </c:strCache>
            </c:strRef>
          </c:cat>
          <c:val>
            <c:numRef>
              <c:f>'09 Dashboard'!$F$9:$G$9</c:f>
              <c:numCache>
                <c:formatCode>General</c:formatCode>
                <c:ptCount val="2"/>
                <c:pt idx="0" formatCode="&quot;₹&quot;\ #,##0.00">
                  <c:v>-3080000</c:v>
                </c:pt>
                <c:pt idx="1">
                  <c:v>0</c:v>
                </c:pt>
              </c:numCache>
            </c:numRef>
          </c:val>
          <c:extLst>
            <c:ext xmlns:c16="http://schemas.microsoft.com/office/drawing/2014/chart" uri="{C3380CC4-5D6E-409C-BE32-E72D297353CC}">
              <c16:uniqueId val="{00000000-4E39-442D-AEEC-1F8C9074D1C8}"/>
            </c:ext>
          </c:extLst>
        </c:ser>
        <c:ser>
          <c:idx val="1"/>
          <c:order val="1"/>
          <c:tx>
            <c:strRef>
              <c:f>'09 Dashboard'!$E$10</c:f>
              <c:strCache>
                <c:ptCount val="1"/>
                <c:pt idx="0">
                  <c:v>Labour</c:v>
                </c:pt>
              </c:strCache>
            </c:strRef>
          </c:tx>
          <c:spPr>
            <a:solidFill>
              <a:schemeClr val="accent2"/>
            </a:solidFill>
            <a:ln>
              <a:noFill/>
            </a:ln>
            <a:effectLst/>
          </c:spPr>
          <c:invertIfNegative val="0"/>
          <c:cat>
            <c:strRef>
              <c:f>'09 Dashboard'!$F$8:$G$8</c:f>
              <c:strCache>
                <c:ptCount val="2"/>
                <c:pt idx="0">
                  <c:v>Variance</c:v>
                </c:pt>
                <c:pt idx="1">
                  <c:v>Status</c:v>
                </c:pt>
              </c:strCache>
            </c:strRef>
          </c:cat>
          <c:val>
            <c:numRef>
              <c:f>'09 Dashboard'!$F$10:$G$10</c:f>
              <c:numCache>
                <c:formatCode>General</c:formatCode>
                <c:ptCount val="2"/>
                <c:pt idx="0" formatCode="&quot;₹&quot;\ #,##0.00">
                  <c:v>-285000</c:v>
                </c:pt>
                <c:pt idx="1">
                  <c:v>0</c:v>
                </c:pt>
              </c:numCache>
            </c:numRef>
          </c:val>
          <c:extLst>
            <c:ext xmlns:c16="http://schemas.microsoft.com/office/drawing/2014/chart" uri="{C3380CC4-5D6E-409C-BE32-E72D297353CC}">
              <c16:uniqueId val="{00000001-4E39-442D-AEEC-1F8C9074D1C8}"/>
            </c:ext>
          </c:extLst>
        </c:ser>
        <c:ser>
          <c:idx val="2"/>
          <c:order val="2"/>
          <c:tx>
            <c:strRef>
              <c:f>'09 Dashboard'!$E$11</c:f>
              <c:strCache>
                <c:ptCount val="1"/>
                <c:pt idx="0">
                  <c:v>Overhead</c:v>
                </c:pt>
              </c:strCache>
            </c:strRef>
          </c:tx>
          <c:spPr>
            <a:solidFill>
              <a:schemeClr val="accent3"/>
            </a:solidFill>
            <a:ln>
              <a:noFill/>
            </a:ln>
            <a:effectLst/>
          </c:spPr>
          <c:invertIfNegative val="0"/>
          <c:cat>
            <c:strRef>
              <c:f>'09 Dashboard'!$F$8:$G$8</c:f>
              <c:strCache>
                <c:ptCount val="2"/>
                <c:pt idx="0">
                  <c:v>Variance</c:v>
                </c:pt>
                <c:pt idx="1">
                  <c:v>Status</c:v>
                </c:pt>
              </c:strCache>
            </c:strRef>
          </c:cat>
          <c:val>
            <c:numRef>
              <c:f>'09 Dashboard'!$F$11:$G$11</c:f>
              <c:numCache>
                <c:formatCode>General</c:formatCode>
                <c:ptCount val="2"/>
                <c:pt idx="0" formatCode="&quot;₹&quot;\ #,##0.00">
                  <c:v>100000</c:v>
                </c:pt>
                <c:pt idx="1">
                  <c:v>0</c:v>
                </c:pt>
              </c:numCache>
            </c:numRef>
          </c:val>
          <c:extLst>
            <c:ext xmlns:c16="http://schemas.microsoft.com/office/drawing/2014/chart" uri="{C3380CC4-5D6E-409C-BE32-E72D297353CC}">
              <c16:uniqueId val="{00000002-4E39-442D-AEEC-1F8C9074D1C8}"/>
            </c:ext>
          </c:extLst>
        </c:ser>
        <c:dLbls>
          <c:showLegendKey val="0"/>
          <c:showVal val="0"/>
          <c:showCatName val="0"/>
          <c:showSerName val="0"/>
          <c:showPercent val="0"/>
          <c:showBubbleSize val="0"/>
        </c:dLbls>
        <c:gapWidth val="219"/>
        <c:overlap val="-27"/>
        <c:axId val="1936707168"/>
        <c:axId val="1888939600"/>
      </c:barChart>
      <c:catAx>
        <c:axId val="193670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939600"/>
        <c:crosses val="autoZero"/>
        <c:auto val="1"/>
        <c:lblAlgn val="ctr"/>
        <c:lblOffset val="100"/>
        <c:noMultiLvlLbl val="0"/>
      </c:catAx>
      <c:valAx>
        <c:axId val="1888939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707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165100</xdr:rowOff>
    </xdr:from>
    <xdr:to>
      <xdr:col>4</xdr:col>
      <xdr:colOff>6350</xdr:colOff>
      <xdr:row>26</xdr:row>
      <xdr:rowOff>0</xdr:rowOff>
    </xdr:to>
    <xdr:graphicFrame macro="">
      <xdr:nvGraphicFramePr>
        <xdr:cNvPr id="3" name="Chart 2">
          <a:extLst>
            <a:ext uri="{FF2B5EF4-FFF2-40B4-BE49-F238E27FC236}">
              <a16:creationId xmlns:a16="http://schemas.microsoft.com/office/drawing/2014/main" id="{2D98DAC9-E4AD-BB79-A0BF-6B703F633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12</xdr:row>
      <xdr:rowOff>0</xdr:rowOff>
    </xdr:from>
    <xdr:to>
      <xdr:col>11</xdr:col>
      <xdr:colOff>38099</xdr:colOff>
      <xdr:row>25</xdr:row>
      <xdr:rowOff>177800</xdr:rowOff>
    </xdr:to>
    <xdr:graphicFrame macro="">
      <xdr:nvGraphicFramePr>
        <xdr:cNvPr id="7" name="Chart 6">
          <a:extLst>
            <a:ext uri="{FF2B5EF4-FFF2-40B4-BE49-F238E27FC236}">
              <a16:creationId xmlns:a16="http://schemas.microsoft.com/office/drawing/2014/main" id="{6617B1D3-19E5-A309-29BB-4BA3156FB8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C2AA8E0-85B5-4388-B9B8-B9C3464126D4}" name="Table15" displayName="Table15" ref="A21:B25" totalsRowShown="0">
  <autoFilter ref="A21:B25" xr:uid="{FC2AA8E0-85B5-4388-B9B8-B9C3464126D4}"/>
  <tableColumns count="2">
    <tableColumn id="1" xr3:uid="{FE293010-B20E-4B6B-81B9-D786C269A3EA}" name="KEY MODEL OUTPUTS"/>
    <tableColumn id="2" xr3:uid="{9708C574-BA9D-4768-A2B8-8FE91E91EFED}" name="Amount" dataDxfId="5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291C4A-A6C8-4827-A668-43545DC602B9}" name="Table1" displayName="Table1" ref="A1:H10" totalsRowShown="0">
  <autoFilter ref="A1:H10" xr:uid="{72291C4A-A6C8-4827-A668-43545DC602B9}"/>
  <tableColumns count="8">
    <tableColumn id="1" xr3:uid="{1091A591-B5C0-4486-887E-4AE46CDB709A}" name="Category"/>
    <tableColumn id="2" xr3:uid="{25D59570-02EC-48C4-B7B0-C5B616648F36}" name="Variable"/>
    <tableColumn id="3" xr3:uid="{F0794525-09D0-46F2-BF99-25DD2F169F20}" name="Standard / Base Value" dataDxfId="54"/>
    <tableColumn id="4" xr3:uid="{7D242658-6340-487C-B8C4-00F89E49CE8D}" name="Actual Value" dataDxfId="53"/>
    <tableColumn id="5" xr3:uid="{98A06E4F-29A4-4F97-9573-26A996A96706}" name="Unit"/>
    <tableColumn id="6" xr3:uid="{9DF8B90E-9C84-4BBA-9B50-158EA0ECFEE3}" name="Data Classification"/>
    <tableColumn id="7" xr3:uid="{A9D62BA4-663B-4813-A288-9DF40A936C39}" name="Basis / Source"/>
    <tableColumn id="8" xr3:uid="{FA37F4A8-95D1-4DFC-98ED-3102222BBFBE}"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06772F3-CD61-470C-B823-D70A628B060C}" name="Table14" displayName="Table14" ref="A15:D19" totalsRowShown="0" headerRowDxfId="52">
  <autoFilter ref="A15:D19" xr:uid="{706772F3-CD61-470C-B823-D70A628B060C}"/>
  <tableColumns count="4">
    <tableColumn id="1" xr3:uid="{C1440A53-213B-4813-AEBC-B49E4E2346F9}" name="Variable" dataDxfId="51"/>
    <tableColumn id="2" xr3:uid="{1A5C3A5E-313D-4C3F-939E-C6A368A5CAB7}" name="Value"/>
    <tableColumn id="3" xr3:uid="{758B3764-BEDA-4343-818B-AFAD066E034F}" name="Basis / Source" dataDxfId="50"/>
    <tableColumn id="4" xr3:uid="{E2FA1166-3BD1-48DD-8990-EFC1419E6A73}" name="Notes" dataDxfId="4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DEC589-93D9-4EB3-AC03-D28F56757F88}" name="Table3" displayName="Table3" ref="A1:E7" totalsRowShown="0" headerRowDxfId="48">
  <autoFilter ref="A1:E7" xr:uid="{7CDEC589-93D9-4EB3-AC03-D28F56757F88}"/>
  <tableColumns count="5">
    <tableColumn id="1" xr3:uid="{920B6330-B239-460B-9E40-75A5ADDB1C7A}" name="Cost Component" dataDxfId="47"/>
    <tableColumn id="2" xr3:uid="{E0371615-C6E5-4EF3-9F89-35E826209A41}" name="Standard Quantity" dataDxfId="46"/>
    <tableColumn id="3" xr3:uid="{706281B3-30DC-4C33-BA4C-0BA0534E20B4}" name="Standard Rate" dataDxfId="45"/>
    <tableColumn id="4" xr3:uid="{64092E45-A38E-42A0-866F-D7E9A0A9B370}" name="Standard Cost" dataDxfId="44"/>
    <tableColumn id="5" xr3:uid="{6405AAFB-4948-4EB9-A352-4D339DF4F441}" name="Cost per Vehicle" dataDxfId="43">
      <calculatedColumnFormula>D2/1000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5648E4-CDF1-4353-8AB3-FBF0A788733F}" name="Table5" displayName="Table5" ref="A1:E7" totalsRowShown="0" headerRowDxfId="42">
  <autoFilter ref="A1:E7" xr:uid="{EF5648E4-CDF1-4353-8AB3-FBF0A788733F}"/>
  <tableColumns count="5">
    <tableColumn id="1" xr3:uid="{DC3A6EE5-78D8-4BB9-BA1F-1E408CD6D5A8}" name="Cost Component" dataDxfId="41"/>
    <tableColumn id="2" xr3:uid="{4B2FBB39-6EE3-45E2-9B68-DB26DCA01C47}" name="Actual Quantity" dataDxfId="40"/>
    <tableColumn id="3" xr3:uid="{494DDA61-207B-41F4-84B2-771051639E4D}" name="Actual Rate" dataDxfId="39"/>
    <tableColumn id="4" xr3:uid="{9B399DDB-81D4-4954-AF6D-5100DA3F9A7C}" name="Actual Cost" dataDxfId="38"/>
    <tableColumn id="5" xr3:uid="{31E8661A-B615-4085-AD5A-2E682E2DF664}" name="Cost per Vehicle" dataDxfId="3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EB68A3A-7C1A-40D2-A765-4911734B9C07}" name="Table6" displayName="Table6" ref="A1:J5" totalsRowShown="0" headerRowDxfId="36">
  <autoFilter ref="A1:J5" xr:uid="{8EB68A3A-7C1A-40D2-A765-4911734B9C07}"/>
  <tableColumns count="10">
    <tableColumn id="1" xr3:uid="{4D25CF11-DB23-4B3B-8BB5-6C543AB86B00}" name="Material"/>
    <tableColumn id="2" xr3:uid="{908A0FD0-BF47-4581-81BD-5FF3ACC27474}" name="Standard Quantity"/>
    <tableColumn id="3" xr3:uid="{307D5552-74CB-4C72-A31E-9D1627291D16}" name="Actual Quantity"/>
    <tableColumn id="4" xr3:uid="{0789B7B7-246F-4951-9810-650ED0762804}" name="Standard Rate" dataDxfId="35"/>
    <tableColumn id="5" xr3:uid="{E518F4DE-677F-451D-9C41-ABA92D9F0E32}" name="Actual Rate" dataDxfId="34"/>
    <tableColumn id="6" xr3:uid="{BE70C6FF-CE85-47F7-A78D-52471CF2C83A}" name="Standard Cost" dataDxfId="33"/>
    <tableColumn id="7" xr3:uid="{F1AF1FF0-7F85-4B01-A3D5-C8B804F4EB1F}" name="Actual Cost" dataDxfId="32"/>
    <tableColumn id="8" xr3:uid="{E99F204D-C5C6-4F29-85B0-95971A14A973}" name="Cost Variance" dataDxfId="31"/>
    <tableColumn id="9" xr3:uid="{40F5EE61-A3E3-4574-B868-3EF74D148F25}" name="Price Variance" dataDxfId="30"/>
    <tableColumn id="10" xr3:uid="{A2873DF9-7181-4400-9855-CC234BAA4A16}" name="Usage Variance" dataDxfId="2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C69F911-246D-4247-9F0A-23E39E290E74}" name="Table7" displayName="Table7" ref="A1:J2" totalsRowShown="0">
  <autoFilter ref="A1:J2" xr:uid="{6C69F911-246D-4247-9F0A-23E39E290E74}"/>
  <tableColumns count="10">
    <tableColumn id="1" xr3:uid="{88EF1DAE-C1DB-4DE5-8529-93D1836CF365}" name="Labour"/>
    <tableColumn id="2" xr3:uid="{75B2797A-E3BD-4DF9-B94D-2FF143F77ED9}" name="Standard Hours"/>
    <tableColumn id="3" xr3:uid="{126EBCDF-ADB8-4932-8B7B-CE71BEFD6EEF}" name="Actual Hours"/>
    <tableColumn id="4" xr3:uid="{3F77C4A2-F948-4129-A4A5-BA468101CE13}" name="Standard Rate" dataDxfId="28"/>
    <tableColumn id="5" xr3:uid="{4D50CE4A-A1D7-4755-AD66-006C87BD5414}" name="Actual Rate" dataDxfId="27"/>
    <tableColumn id="6" xr3:uid="{24BB415F-25C1-4941-B724-389BDDB65C49}" name="Standard Cost" dataDxfId="26">
      <calculatedColumnFormula>B2*D2</calculatedColumnFormula>
    </tableColumn>
    <tableColumn id="7" xr3:uid="{3199FC42-1311-4563-B2B4-726804FBE0CA}" name="Actual Cost" dataDxfId="25">
      <calculatedColumnFormula>C2*E2</calculatedColumnFormula>
    </tableColumn>
    <tableColumn id="8" xr3:uid="{58449179-5BA5-4150-91FE-E8116A46B5AE}" name="Rate Variance" dataDxfId="24">
      <calculatedColumnFormula>C2*(D2-E2)</calculatedColumnFormula>
    </tableColumn>
    <tableColumn id="9" xr3:uid="{2D614082-C0A8-4C6C-A053-A045CBFC05F9}" name="Efficiency Variance" dataDxfId="23">
      <calculatedColumnFormula>D2*(B2-C2)</calculatedColumnFormula>
    </tableColumn>
    <tableColumn id="10" xr3:uid="{F9A006E1-A6D4-4C2F-A4FD-C851AA63E65D}" name="Labour Cost Variance" dataDxfId="22">
      <calculatedColumnFormula>F2-G2</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881D08-A778-442A-8D58-37899B56F736}" name="Table4" displayName="Table4" ref="A1:I2" totalsRowShown="0">
  <autoFilter ref="A1:I2" xr:uid="{50881D08-A778-442A-8D58-37899B56F736}"/>
  <tableColumns count="9">
    <tableColumn id="1" xr3:uid="{75A37B53-55F4-400D-9EFD-0CCEA7700E49}" name="Overhead"/>
    <tableColumn id="2" xr3:uid="{B4A7A804-C979-481D-80E5-802A94609424}" name="Standard Hours"/>
    <tableColumn id="3" xr3:uid="{D4968417-8207-4ADA-A41B-D08B317E0DBD}" name="Actual Hours"/>
    <tableColumn id="4" xr3:uid="{AB4F8A34-38BE-4C2F-99DA-774FDD27BB46}" name="Standard Rate" dataDxfId="21"/>
    <tableColumn id="5" xr3:uid="{4E93DE52-7E90-4FFC-9B32-05EDDBEB0D97}" name="Standard Overhead" dataDxfId="20">
      <calculatedColumnFormula>B2*D2</calculatedColumnFormula>
    </tableColumn>
    <tableColumn id="6" xr3:uid="{BA9DA33C-6447-4BD2-AE52-03991AEA34DF}" name="Actual Overhead" dataDxfId="19"/>
    <tableColumn id="7" xr3:uid="{F9BA0B88-EA6B-4B52-BE8E-9B35CC512D23}" name="Variance" dataDxfId="18">
      <calculatedColumnFormula>E2-F2</calculatedColumnFormula>
    </tableColumn>
    <tableColumn id="8" xr3:uid="{9A4E8E48-8833-4C52-B455-E03D4F24DF04}" name="Expenditure Variance" dataDxfId="17">
      <calculatedColumnFormula>(C2*D2)-F2</calculatedColumnFormula>
    </tableColumn>
    <tableColumn id="9" xr3:uid="{043412B0-3173-438D-86A0-1F915E64CC1C}" name="Efficiency Variance" dataDxfId="16">
      <calculatedColumnFormula>D2*(B2-C2)</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9F6C3D7-6DED-4E37-BDCA-E1D0F618A6F4}" name="Table8" displayName="Table8" ref="A1:D5" totalsRowShown="0">
  <autoFilter ref="A1:D5" xr:uid="{B9F6C3D7-6DED-4E37-BDCA-E1D0F618A6F4}"/>
  <tableColumns count="4">
    <tableColumn id="1" xr3:uid="{39814FB4-37FA-4771-9965-F2CC99FD5A9A}" name="Cost Area"/>
    <tableColumn id="2" xr3:uid="{8F5A59C1-5EF1-4D7A-B815-6EA654F5B58C}" name="Standard Cost" dataDxfId="15"/>
    <tableColumn id="3" xr3:uid="{5E3F6256-2208-491A-B80B-E0DFCD3CB036}" name="Actual Cost" dataDxfId="14"/>
    <tableColumn id="4" xr3:uid="{FFF113DD-96F6-4270-B6B3-F89028CF2A0A}" name="Cost Variance" dataDxfId="13">
      <calculatedColumnFormula>B2-C2</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97A301A-477D-4F3E-B06E-A9B3378E4EBE}" name="Table9" displayName="Table9" ref="A9:C13" totalsRowShown="0">
  <autoFilter ref="A9:C13" xr:uid="{A97A301A-477D-4F3E-B06E-A9B3378E4EBE}"/>
  <tableColumns count="3">
    <tableColumn id="1" xr3:uid="{F78D7F58-1A8F-47D7-BCB0-96B969E0126E}" name="Variance Type" dataDxfId="12"/>
    <tableColumn id="2" xr3:uid="{531CFDB9-F3E0-4EE3-A3E9-D2E358204946}" name="Amount" dataDxfId="11">
      <calculatedColumnFormula>D2</calculatedColumnFormula>
    </tableColumn>
    <tableColumn id="3" xr3:uid="{9CD0E732-6ED9-4F74-A0D1-1ACB93742A2D}" name="Result" dataDxfId="10"/>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00C36F6-8E0C-4980-A29D-824443641460}" name="Table10" displayName="Table10" ref="A16:B21" totalsRowShown="0">
  <autoFilter ref="A16:B21" xr:uid="{B00C36F6-8E0C-4980-A29D-824443641460}"/>
  <tableColumns count="2">
    <tableColumn id="1" xr3:uid="{2C78BE2F-35DB-41F3-9746-BEF52B3C7AED}" name="RECONCILIATION CHECK"/>
    <tableColumn id="2" xr3:uid="{CDDB9A3E-59E9-4624-805C-2D0B2B490CC6}" name="Result"/>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372432F-65E6-404A-85E5-9B2982C801F0}" name="Table11" displayName="Table11" ref="A8:C11" totalsRowShown="0" headerRowDxfId="9">
  <autoFilter ref="A8:C11" xr:uid="{C372432F-65E6-404A-85E5-9B2982C801F0}"/>
  <tableColumns count="3">
    <tableColumn id="1" xr3:uid="{BC1202C7-2912-4959-AC70-B1D836531270}" name="Cost Area" dataDxfId="8"/>
    <tableColumn id="2" xr3:uid="{799A5748-71AF-411C-9DB5-9488E07A6103}" name="Standard Cost" dataDxfId="7">
      <calculatedColumnFormula>'08 Variance Summary'!B2</calculatedColumnFormula>
    </tableColumn>
    <tableColumn id="3" xr3:uid="{B113F726-E95B-48B9-9765-2B86B4E539BE}" name="Actual Cost" dataDxfId="6">
      <calculatedColumnFormula>'08 Variance Summary'!C2</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4F80DF4-C687-4BD1-9528-BED5A38D908C}" name="Table12" displayName="Table12" ref="E8:G11" totalsRowShown="0" headerRowDxfId="5">
  <autoFilter ref="E8:G11" xr:uid="{C4F80DF4-C687-4BD1-9528-BED5A38D908C}"/>
  <tableColumns count="3">
    <tableColumn id="1" xr3:uid="{19CC9339-C6D6-4C49-BF63-E9F7B29FC58E}" name="Cost Area" dataDxfId="4"/>
    <tableColumn id="2" xr3:uid="{C3EE0DB2-C49C-4C07-A453-C3C6B4F5652D}" name="Variance" dataDxfId="3">
      <calculatedColumnFormula>'08 Variance Summary'!D2</calculatedColumnFormula>
    </tableColumn>
    <tableColumn id="3" xr3:uid="{4F3255B4-BA23-4C7B-AE3D-FD0B5B0F6BBA}" name="Statu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C9E6A-FA85-4CCE-AEB8-E4DA8F4AAFDF}">
  <dimension ref="A1:B25"/>
  <sheetViews>
    <sheetView zoomScale="60" workbookViewId="0">
      <selection activeCell="I15" sqref="I15"/>
    </sheetView>
  </sheetViews>
  <sheetFormatPr defaultRowHeight="14.5" x14ac:dyDescent="0.35"/>
  <cols>
    <col min="1" max="1" width="89.1796875" bestFit="1" customWidth="1"/>
    <col min="2" max="2" width="33.54296875" customWidth="1"/>
  </cols>
  <sheetData>
    <row r="1" spans="1:2" ht="14" customHeight="1" x14ac:dyDescent="0.35">
      <c r="A1" s="48" t="s">
        <v>29</v>
      </c>
      <c r="B1" s="49"/>
    </row>
    <row r="2" spans="1:2" ht="32.5" customHeight="1" x14ac:dyDescent="0.35">
      <c r="A2" s="49"/>
      <c r="B2" s="49"/>
    </row>
    <row r="3" spans="1:2" x14ac:dyDescent="0.35">
      <c r="A3" s="31"/>
      <c r="B3" s="31"/>
    </row>
    <row r="4" spans="1:2" x14ac:dyDescent="0.35">
      <c r="A4" s="23" t="s">
        <v>0</v>
      </c>
      <c r="B4" s="27" t="s">
        <v>1</v>
      </c>
    </row>
    <row r="5" spans="1:2" x14ac:dyDescent="0.35">
      <c r="A5" s="24" t="s">
        <v>2</v>
      </c>
      <c r="B5" s="29" t="s">
        <v>3</v>
      </c>
    </row>
    <row r="6" spans="1:2" x14ac:dyDescent="0.35">
      <c r="A6" s="25" t="s">
        <v>4</v>
      </c>
      <c r="B6" s="28" t="s">
        <v>5</v>
      </c>
    </row>
    <row r="7" spans="1:2" x14ac:dyDescent="0.35">
      <c r="A7" s="23" t="s">
        <v>6</v>
      </c>
      <c r="B7" s="29" t="s">
        <v>7</v>
      </c>
    </row>
    <row r="8" spans="1:2" x14ac:dyDescent="0.35">
      <c r="A8" s="24" t="s">
        <v>8</v>
      </c>
      <c r="B8" s="27" t="s">
        <v>9</v>
      </c>
    </row>
    <row r="9" spans="1:2" x14ac:dyDescent="0.35">
      <c r="A9" s="24" t="s">
        <v>10</v>
      </c>
      <c r="B9" s="30" t="s">
        <v>11</v>
      </c>
    </row>
    <row r="10" spans="1:2" x14ac:dyDescent="0.35">
      <c r="A10" s="24" t="s">
        <v>12</v>
      </c>
      <c r="B10" s="29" t="s">
        <v>13</v>
      </c>
    </row>
    <row r="11" spans="1:2" x14ac:dyDescent="0.35">
      <c r="A11" s="26"/>
      <c r="B11" s="26"/>
    </row>
    <row r="12" spans="1:2" x14ac:dyDescent="0.35">
      <c r="A12" s="23" t="s">
        <v>14</v>
      </c>
    </row>
    <row r="13" spans="1:2" ht="29" x14ac:dyDescent="0.35">
      <c r="A13" s="36" t="s">
        <v>15</v>
      </c>
    </row>
    <row r="14" spans="1:2" x14ac:dyDescent="0.35">
      <c r="A14" s="1"/>
    </row>
    <row r="15" spans="1:2" x14ac:dyDescent="0.35">
      <c r="A15" s="37" t="s">
        <v>16</v>
      </c>
    </row>
    <row r="16" spans="1:2" ht="43.5" x14ac:dyDescent="0.35">
      <c r="A16" s="33" t="s">
        <v>21</v>
      </c>
    </row>
    <row r="18" spans="1:2" x14ac:dyDescent="0.35">
      <c r="A18" s="34" t="s">
        <v>17</v>
      </c>
      <c r="B18" s="32" t="s">
        <v>18</v>
      </c>
    </row>
    <row r="19" spans="1:2" ht="29" x14ac:dyDescent="0.35">
      <c r="A19" s="35" t="s">
        <v>19</v>
      </c>
      <c r="B19" s="36" t="s">
        <v>20</v>
      </c>
    </row>
    <row r="21" spans="1:2" ht="15.5" x14ac:dyDescent="0.35">
      <c r="A21" s="5" t="s">
        <v>22</v>
      </c>
      <c r="B21" t="s">
        <v>100</v>
      </c>
    </row>
    <row r="22" spans="1:2" x14ac:dyDescent="0.35">
      <c r="A22" t="s">
        <v>23</v>
      </c>
      <c r="B22" s="6">
        <v>133875000</v>
      </c>
    </row>
    <row r="23" spans="1:2" x14ac:dyDescent="0.35">
      <c r="A23" t="s">
        <v>24</v>
      </c>
      <c r="B23" s="6">
        <v>137140000</v>
      </c>
    </row>
    <row r="24" spans="1:2" x14ac:dyDescent="0.35">
      <c r="A24" t="s">
        <v>25</v>
      </c>
      <c r="B24" s="6" t="s">
        <v>27</v>
      </c>
    </row>
    <row r="25" spans="1:2" x14ac:dyDescent="0.35">
      <c r="A25" t="s">
        <v>26</v>
      </c>
      <c r="B25" s="6" t="s">
        <v>28</v>
      </c>
    </row>
  </sheetData>
  <mergeCells count="1">
    <mergeCell ref="A1:B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822D3-D04D-45E4-AD9C-6D1F34CB6E57}">
  <dimension ref="A1:H19"/>
  <sheetViews>
    <sheetView tabSelected="1" zoomScale="59" workbookViewId="0">
      <selection activeCell="F20" sqref="F20"/>
    </sheetView>
  </sheetViews>
  <sheetFormatPr defaultRowHeight="14.5" x14ac:dyDescent="0.35"/>
  <cols>
    <col min="1" max="1" width="22.08984375" customWidth="1"/>
    <col min="2" max="2" width="32.90625" bestFit="1" customWidth="1"/>
    <col min="3" max="3" width="28.08984375" customWidth="1"/>
    <col min="4" max="4" width="35.54296875" customWidth="1"/>
    <col min="5" max="5" width="40.26953125" customWidth="1"/>
    <col min="6" max="6" width="30.90625" bestFit="1" customWidth="1"/>
    <col min="7" max="7" width="59.7265625" bestFit="1" customWidth="1"/>
    <col min="8" max="8" width="91.54296875" bestFit="1" customWidth="1"/>
  </cols>
  <sheetData>
    <row r="1" spans="1:8" x14ac:dyDescent="0.35">
      <c r="A1" t="s">
        <v>30</v>
      </c>
      <c r="B1" t="s">
        <v>31</v>
      </c>
      <c r="C1" t="s">
        <v>32</v>
      </c>
      <c r="D1" t="s">
        <v>33</v>
      </c>
      <c r="E1" t="s">
        <v>34</v>
      </c>
      <c r="F1" t="s">
        <v>35</v>
      </c>
      <c r="G1" t="s">
        <v>36</v>
      </c>
      <c r="H1" t="s">
        <v>37</v>
      </c>
    </row>
    <row r="2" spans="1:8" x14ac:dyDescent="0.35">
      <c r="A2" t="s">
        <v>38</v>
      </c>
      <c r="B2" t="s">
        <v>42</v>
      </c>
      <c r="C2" s="10">
        <v>1000</v>
      </c>
      <c r="D2" s="10">
        <v>1000</v>
      </c>
      <c r="E2" t="s">
        <v>51</v>
      </c>
      <c r="F2" t="s">
        <v>52</v>
      </c>
      <c r="G2" t="s">
        <v>122</v>
      </c>
      <c r="H2" t="s">
        <v>125</v>
      </c>
    </row>
    <row r="3" spans="1:8" ht="29" x14ac:dyDescent="0.35">
      <c r="A3" t="s">
        <v>39</v>
      </c>
      <c r="B3" t="s">
        <v>43</v>
      </c>
      <c r="C3" s="10">
        <v>500</v>
      </c>
      <c r="D3" s="10">
        <v>510</v>
      </c>
      <c r="E3" t="s">
        <v>53</v>
      </c>
      <c r="F3" t="s">
        <v>60</v>
      </c>
      <c r="G3" s="3" t="s">
        <v>140</v>
      </c>
      <c r="H3" s="3" t="s">
        <v>131</v>
      </c>
    </row>
    <row r="4" spans="1:8" ht="29" x14ac:dyDescent="0.35">
      <c r="A4" t="s">
        <v>39</v>
      </c>
      <c r="B4" t="s">
        <v>44</v>
      </c>
      <c r="C4" s="10">
        <v>55</v>
      </c>
      <c r="D4" s="10">
        <v>58</v>
      </c>
      <c r="E4" t="s">
        <v>54</v>
      </c>
      <c r="F4" t="s">
        <v>61</v>
      </c>
      <c r="G4" s="3" t="s">
        <v>124</v>
      </c>
      <c r="H4" s="3" t="s">
        <v>132</v>
      </c>
    </row>
    <row r="5" spans="1:8" x14ac:dyDescent="0.35">
      <c r="A5" t="s">
        <v>39</v>
      </c>
      <c r="B5" t="s">
        <v>45</v>
      </c>
      <c r="C5" s="10">
        <v>75000</v>
      </c>
      <c r="D5" s="10">
        <v>77000</v>
      </c>
      <c r="E5" t="s">
        <v>55</v>
      </c>
      <c r="F5" t="s">
        <v>62</v>
      </c>
      <c r="G5" t="s">
        <v>122</v>
      </c>
      <c r="H5" t="s">
        <v>126</v>
      </c>
    </row>
    <row r="6" spans="1:8" x14ac:dyDescent="0.35">
      <c r="A6" t="s">
        <v>39</v>
      </c>
      <c r="B6" t="s">
        <v>46</v>
      </c>
      <c r="C6" s="10">
        <v>25000</v>
      </c>
      <c r="D6" s="10">
        <v>24000</v>
      </c>
      <c r="E6" t="s">
        <v>55</v>
      </c>
      <c r="F6" t="s">
        <v>62</v>
      </c>
      <c r="G6" t="s">
        <v>122</v>
      </c>
      <c r="H6" t="s">
        <v>127</v>
      </c>
    </row>
    <row r="7" spans="1:8" x14ac:dyDescent="0.35">
      <c r="A7" t="s">
        <v>40</v>
      </c>
      <c r="B7" t="s">
        <v>47</v>
      </c>
      <c r="C7" s="10">
        <v>15</v>
      </c>
      <c r="D7" s="10">
        <v>14.5</v>
      </c>
      <c r="E7" t="s">
        <v>56</v>
      </c>
      <c r="F7" t="s">
        <v>62</v>
      </c>
      <c r="G7" t="s">
        <v>122</v>
      </c>
      <c r="H7" t="s">
        <v>128</v>
      </c>
    </row>
    <row r="8" spans="1:8" ht="29" x14ac:dyDescent="0.35">
      <c r="A8" t="s">
        <v>40</v>
      </c>
      <c r="B8" t="s">
        <v>48</v>
      </c>
      <c r="C8" s="10">
        <v>300</v>
      </c>
      <c r="D8" s="10">
        <v>330</v>
      </c>
      <c r="E8" t="s">
        <v>57</v>
      </c>
      <c r="F8" t="s">
        <v>63</v>
      </c>
      <c r="G8" s="3" t="s">
        <v>123</v>
      </c>
      <c r="H8" s="3" t="s">
        <v>133</v>
      </c>
    </row>
    <row r="9" spans="1:8" x14ac:dyDescent="0.35">
      <c r="A9" t="s">
        <v>41</v>
      </c>
      <c r="B9" t="s">
        <v>49</v>
      </c>
      <c r="C9" s="10">
        <v>125</v>
      </c>
      <c r="D9" s="10"/>
      <c r="E9" t="s">
        <v>58</v>
      </c>
      <c r="F9" t="s">
        <v>62</v>
      </c>
      <c r="G9" t="s">
        <v>122</v>
      </c>
      <c r="H9" t="s">
        <v>129</v>
      </c>
    </row>
    <row r="10" spans="1:8" x14ac:dyDescent="0.35">
      <c r="A10" t="s">
        <v>41</v>
      </c>
      <c r="B10" t="s">
        <v>50</v>
      </c>
      <c r="C10" s="10"/>
      <c r="D10" s="10">
        <v>1775000</v>
      </c>
      <c r="E10" t="s">
        <v>59</v>
      </c>
      <c r="F10" t="s">
        <v>62</v>
      </c>
      <c r="G10" t="s">
        <v>122</v>
      </c>
      <c r="H10" t="s">
        <v>130</v>
      </c>
    </row>
    <row r="14" spans="1:8" x14ac:dyDescent="0.35">
      <c r="A14" s="1"/>
      <c r="B14" s="7"/>
      <c r="C14" s="7"/>
    </row>
    <row r="15" spans="1:8" x14ac:dyDescent="0.35">
      <c r="A15" s="17" t="s">
        <v>31</v>
      </c>
      <c r="B15" s="4" t="s">
        <v>65</v>
      </c>
      <c r="C15" s="17" t="s">
        <v>36</v>
      </c>
      <c r="D15" s="17" t="s">
        <v>37</v>
      </c>
    </row>
    <row r="16" spans="1:8" ht="29" x14ac:dyDescent="0.35">
      <c r="A16" s="3" t="s">
        <v>64</v>
      </c>
      <c r="B16" t="s">
        <v>66</v>
      </c>
      <c r="C16" s="1" t="s">
        <v>134</v>
      </c>
      <c r="D16" s="1" t="s">
        <v>135</v>
      </c>
    </row>
    <row r="17" spans="1:4" ht="29" x14ac:dyDescent="0.35">
      <c r="A17" s="3" t="s">
        <v>67</v>
      </c>
      <c r="B17" t="s">
        <v>68</v>
      </c>
      <c r="C17" s="1" t="s">
        <v>136</v>
      </c>
      <c r="D17" s="1" t="s">
        <v>137</v>
      </c>
    </row>
    <row r="18" spans="1:4" ht="29" x14ac:dyDescent="0.35">
      <c r="A18" s="3" t="s">
        <v>69</v>
      </c>
      <c r="B18" t="s">
        <v>70</v>
      </c>
      <c r="C18" s="1" t="s">
        <v>136</v>
      </c>
      <c r="D18" s="1" t="s">
        <v>138</v>
      </c>
    </row>
    <row r="19" spans="1:4" ht="29" x14ac:dyDescent="0.35">
      <c r="A19" s="3" t="s">
        <v>71</v>
      </c>
      <c r="B19" t="s">
        <v>72</v>
      </c>
      <c r="C19" s="1" t="s">
        <v>136</v>
      </c>
      <c r="D19" s="1" t="s">
        <v>139</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F9522-97AF-42EE-8B8D-B3A8BA137B8D}">
  <dimension ref="A1:E7"/>
  <sheetViews>
    <sheetView workbookViewId="0">
      <selection activeCell="E20" sqref="E20"/>
    </sheetView>
  </sheetViews>
  <sheetFormatPr defaultRowHeight="14.5" x14ac:dyDescent="0.35"/>
  <cols>
    <col min="1" max="1" width="21.7265625" customWidth="1"/>
    <col min="2" max="2" width="18.26953125" customWidth="1"/>
    <col min="3" max="3" width="14.7265625" customWidth="1"/>
    <col min="4" max="4" width="15.26953125" bestFit="1" customWidth="1"/>
    <col min="5" max="5" width="16.26953125" customWidth="1"/>
  </cols>
  <sheetData>
    <row r="1" spans="1:5" ht="15" customHeight="1" x14ac:dyDescent="0.35">
      <c r="A1" s="11" t="s">
        <v>73</v>
      </c>
      <c r="B1" s="11" t="s">
        <v>74</v>
      </c>
      <c r="C1" s="11" t="s">
        <v>75</v>
      </c>
      <c r="D1" s="11" t="s">
        <v>23</v>
      </c>
      <c r="E1" s="11" t="s">
        <v>76</v>
      </c>
    </row>
    <row r="2" spans="1:5" x14ac:dyDescent="0.35">
      <c r="A2" s="12" t="s">
        <v>77</v>
      </c>
      <c r="B2" s="13">
        <v>500000</v>
      </c>
      <c r="C2" s="16">
        <v>55</v>
      </c>
      <c r="D2" s="16">
        <f>B2*C2</f>
        <v>27500000</v>
      </c>
      <c r="E2" s="16">
        <f>D2/1000</f>
        <v>27500</v>
      </c>
    </row>
    <row r="3" spans="1:5" ht="16" customHeight="1" x14ac:dyDescent="0.35">
      <c r="A3" s="12" t="s">
        <v>78</v>
      </c>
      <c r="B3" s="13">
        <v>1000</v>
      </c>
      <c r="C3" s="16">
        <v>75000</v>
      </c>
      <c r="D3" s="16">
        <f t="shared" ref="D3:D6" si="0">B3*C3</f>
        <v>75000000</v>
      </c>
      <c r="E3" s="16">
        <f t="shared" ref="E3:E7" si="1">D3/1000</f>
        <v>75000</v>
      </c>
    </row>
    <row r="4" spans="1:5" x14ac:dyDescent="0.35">
      <c r="A4" s="12" t="s">
        <v>79</v>
      </c>
      <c r="B4" s="13">
        <v>1000</v>
      </c>
      <c r="C4" s="16">
        <v>25000</v>
      </c>
      <c r="D4" s="16">
        <f t="shared" si="0"/>
        <v>25000000</v>
      </c>
      <c r="E4" s="16">
        <f t="shared" si="1"/>
        <v>25000</v>
      </c>
    </row>
    <row r="5" spans="1:5" x14ac:dyDescent="0.35">
      <c r="A5" s="12" t="s">
        <v>80</v>
      </c>
      <c r="B5" s="13">
        <v>15000</v>
      </c>
      <c r="C5" s="16">
        <v>300</v>
      </c>
      <c r="D5" s="16">
        <f t="shared" si="0"/>
        <v>4500000</v>
      </c>
      <c r="E5" s="16">
        <f t="shared" si="1"/>
        <v>4500</v>
      </c>
    </row>
    <row r="6" spans="1:5" x14ac:dyDescent="0.35">
      <c r="A6" s="12" t="s">
        <v>81</v>
      </c>
      <c r="B6" s="13">
        <v>15000</v>
      </c>
      <c r="C6" s="16">
        <v>125</v>
      </c>
      <c r="D6" s="16">
        <f t="shared" si="0"/>
        <v>1875000</v>
      </c>
      <c r="E6" s="16">
        <f t="shared" si="1"/>
        <v>1875</v>
      </c>
    </row>
    <row r="7" spans="1:5" x14ac:dyDescent="0.35">
      <c r="A7" s="11" t="s">
        <v>82</v>
      </c>
      <c r="B7" s="9"/>
      <c r="C7" s="16"/>
      <c r="D7" s="16">
        <f>SUM(D2:D6)</f>
        <v>133875000</v>
      </c>
      <c r="E7" s="16">
        <f t="shared" si="1"/>
        <v>133875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1107A-1CA8-4148-B72B-8E0DEFD03768}">
  <dimension ref="A1:E7"/>
  <sheetViews>
    <sheetView workbookViewId="0">
      <selection activeCell="D13" sqref="D13"/>
    </sheetView>
  </sheetViews>
  <sheetFormatPr defaultRowHeight="14.5" x14ac:dyDescent="0.35"/>
  <cols>
    <col min="1" max="1" width="24.453125" customWidth="1"/>
    <col min="2" max="2" width="15.90625" customWidth="1"/>
    <col min="3" max="3" width="12.36328125" customWidth="1"/>
    <col min="4" max="4" width="15.26953125" bestFit="1" customWidth="1"/>
    <col min="5" max="5" width="16.26953125" customWidth="1"/>
  </cols>
  <sheetData>
    <row r="1" spans="1:5" x14ac:dyDescent="0.35">
      <c r="A1" s="8" t="s">
        <v>73</v>
      </c>
      <c r="B1" s="8" t="s">
        <v>83</v>
      </c>
      <c r="C1" s="8" t="s">
        <v>84</v>
      </c>
      <c r="D1" s="15" t="s">
        <v>24</v>
      </c>
      <c r="E1" s="15" t="s">
        <v>76</v>
      </c>
    </row>
    <row r="2" spans="1:5" x14ac:dyDescent="0.35">
      <c r="A2" s="1" t="s">
        <v>77</v>
      </c>
      <c r="B2" s="14">
        <v>510000</v>
      </c>
      <c r="C2" s="20">
        <v>58</v>
      </c>
      <c r="D2" s="21">
        <f>B2*C2</f>
        <v>29580000</v>
      </c>
      <c r="E2" s="21">
        <f>D2/1000</f>
        <v>29580</v>
      </c>
    </row>
    <row r="3" spans="1:5" x14ac:dyDescent="0.35">
      <c r="A3" s="1" t="s">
        <v>78</v>
      </c>
      <c r="B3" s="14">
        <v>1000</v>
      </c>
      <c r="C3" s="20">
        <v>77000</v>
      </c>
      <c r="D3" s="21">
        <f t="shared" ref="D3:D5" si="0">B3*C3</f>
        <v>77000000</v>
      </c>
      <c r="E3" s="21">
        <f t="shared" ref="E3:E6" si="1">D3/1000</f>
        <v>77000</v>
      </c>
    </row>
    <row r="4" spans="1:5" x14ac:dyDescent="0.35">
      <c r="A4" s="1" t="s">
        <v>79</v>
      </c>
      <c r="B4" s="14">
        <v>1000</v>
      </c>
      <c r="C4" s="20">
        <v>24000</v>
      </c>
      <c r="D4" s="21">
        <f t="shared" si="0"/>
        <v>24000000</v>
      </c>
      <c r="E4" s="21">
        <f t="shared" si="1"/>
        <v>24000</v>
      </c>
    </row>
    <row r="5" spans="1:5" x14ac:dyDescent="0.35">
      <c r="A5" s="1" t="s">
        <v>80</v>
      </c>
      <c r="B5" s="14">
        <v>14500</v>
      </c>
      <c r="C5" s="20">
        <v>330</v>
      </c>
      <c r="D5" s="21">
        <f t="shared" si="0"/>
        <v>4785000</v>
      </c>
      <c r="E5" s="21">
        <f t="shared" si="1"/>
        <v>4785</v>
      </c>
    </row>
    <row r="6" spans="1:5" x14ac:dyDescent="0.35">
      <c r="A6" s="1" t="s">
        <v>81</v>
      </c>
      <c r="B6" s="14">
        <v>14500</v>
      </c>
      <c r="C6" s="20">
        <v>125</v>
      </c>
      <c r="D6" s="21">
        <v>1775000</v>
      </c>
      <c r="E6" s="21">
        <f t="shared" si="1"/>
        <v>1775</v>
      </c>
    </row>
    <row r="7" spans="1:5" x14ac:dyDescent="0.35">
      <c r="A7" s="4" t="s">
        <v>85</v>
      </c>
      <c r="C7" s="21"/>
      <c r="D7" s="21">
        <f>SUM(D2:D6)</f>
        <v>137140000</v>
      </c>
      <c r="E7" s="21">
        <f>SUM(E2:E6)</f>
        <v>137140</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0BFC5-50F6-49C8-AF56-B14F40F7B9B9}">
  <dimension ref="A1:J5"/>
  <sheetViews>
    <sheetView workbookViewId="0">
      <selection activeCell="H16" sqref="H16"/>
    </sheetView>
  </sheetViews>
  <sheetFormatPr defaultRowHeight="14.5" x14ac:dyDescent="0.35"/>
  <cols>
    <col min="1" max="1" width="22" bestFit="1" customWidth="1"/>
    <col min="2" max="2" width="18.26953125" customWidth="1"/>
    <col min="3" max="3" width="15.90625" customWidth="1"/>
    <col min="4" max="4" width="14.7265625" customWidth="1"/>
    <col min="5" max="5" width="12.36328125" customWidth="1"/>
    <col min="6" max="7" width="16.1796875" bestFit="1" customWidth="1"/>
    <col min="8" max="8" width="14.26953125" customWidth="1"/>
    <col min="9" max="9" width="14.6328125" customWidth="1"/>
    <col min="10" max="10" width="15.54296875" customWidth="1"/>
  </cols>
  <sheetData>
    <row r="1" spans="1:10" x14ac:dyDescent="0.35">
      <c r="A1" s="4" t="s">
        <v>39</v>
      </c>
      <c r="B1" s="4" t="s">
        <v>74</v>
      </c>
      <c r="C1" s="4" t="s">
        <v>83</v>
      </c>
      <c r="D1" s="4" t="s">
        <v>75</v>
      </c>
      <c r="E1" s="4" t="s">
        <v>84</v>
      </c>
      <c r="F1" s="4" t="s">
        <v>23</v>
      </c>
      <c r="G1" s="4" t="s">
        <v>24</v>
      </c>
      <c r="H1" s="4" t="s">
        <v>87</v>
      </c>
      <c r="I1" s="4" t="s">
        <v>88</v>
      </c>
      <c r="J1" s="4" t="s">
        <v>89</v>
      </c>
    </row>
    <row r="2" spans="1:10" x14ac:dyDescent="0.35">
      <c r="A2" t="s">
        <v>77</v>
      </c>
      <c r="B2">
        <v>500000</v>
      </c>
      <c r="C2">
        <v>510000</v>
      </c>
      <c r="D2" s="21">
        <v>55</v>
      </c>
      <c r="E2" s="21">
        <v>58</v>
      </c>
      <c r="F2" s="21">
        <f>B2*D2</f>
        <v>27500000</v>
      </c>
      <c r="G2" s="21">
        <f>C2*E2</f>
        <v>29580000</v>
      </c>
      <c r="H2" s="21">
        <f>F2-G2</f>
        <v>-2080000</v>
      </c>
      <c r="I2" s="21">
        <f>C2*(D2-E2)</f>
        <v>-1530000</v>
      </c>
      <c r="J2" s="21">
        <f>D2*(B2-C2)</f>
        <v>-550000</v>
      </c>
    </row>
    <row r="3" spans="1:10" x14ac:dyDescent="0.35">
      <c r="A3" t="s">
        <v>78</v>
      </c>
      <c r="B3">
        <v>1000</v>
      </c>
      <c r="C3">
        <v>1000</v>
      </c>
      <c r="D3" s="21">
        <v>75000</v>
      </c>
      <c r="E3" s="21">
        <v>77000</v>
      </c>
      <c r="F3" s="21">
        <f t="shared" ref="F3:F4" si="0">B3*D3</f>
        <v>75000000</v>
      </c>
      <c r="G3" s="21">
        <f t="shared" ref="G3:G4" si="1">C3*E3</f>
        <v>77000000</v>
      </c>
      <c r="H3" s="21">
        <f t="shared" ref="H3:H4" si="2">F3-G3</f>
        <v>-2000000</v>
      </c>
      <c r="I3" s="21">
        <f t="shared" ref="I3:I4" si="3">C3*(D3-E3)</f>
        <v>-2000000</v>
      </c>
      <c r="J3" s="21">
        <f t="shared" ref="J3:J4" si="4">D3*(B3-C3)</f>
        <v>0</v>
      </c>
    </row>
    <row r="4" spans="1:10" x14ac:dyDescent="0.35">
      <c r="A4" t="s">
        <v>79</v>
      </c>
      <c r="B4">
        <v>1000</v>
      </c>
      <c r="C4">
        <v>1000</v>
      </c>
      <c r="D4" s="21">
        <v>25000</v>
      </c>
      <c r="E4" s="21">
        <v>24000</v>
      </c>
      <c r="F4" s="21">
        <f t="shared" si="0"/>
        <v>25000000</v>
      </c>
      <c r="G4" s="21">
        <f t="shared" si="1"/>
        <v>24000000</v>
      </c>
      <c r="H4" s="21">
        <f t="shared" si="2"/>
        <v>1000000</v>
      </c>
      <c r="I4" s="21">
        <f t="shared" si="3"/>
        <v>1000000</v>
      </c>
      <c r="J4" s="21">
        <f t="shared" si="4"/>
        <v>0</v>
      </c>
    </row>
    <row r="5" spans="1:10" x14ac:dyDescent="0.35">
      <c r="A5" s="4" t="s">
        <v>82</v>
      </c>
      <c r="D5" s="21"/>
      <c r="E5" s="21"/>
      <c r="F5" s="21">
        <f>SUM(F2:F4)</f>
        <v>127500000</v>
      </c>
      <c r="G5" s="21">
        <f>SUM(G2:G4)</f>
        <v>130580000</v>
      </c>
      <c r="H5" s="21">
        <f>SUM(H2:H4)</f>
        <v>-3080000</v>
      </c>
      <c r="I5" s="21">
        <f>SUM(I2:I4)</f>
        <v>-2530000</v>
      </c>
      <c r="J5" s="21">
        <f>SUM(J2:J4)</f>
        <v>-550000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195F7-2FA5-4749-A242-26220D12ECCD}">
  <dimension ref="A1:J2"/>
  <sheetViews>
    <sheetView workbookViewId="0">
      <selection activeCell="H15" sqref="H15"/>
    </sheetView>
  </sheetViews>
  <sheetFormatPr defaultRowHeight="14.5" x14ac:dyDescent="0.35"/>
  <cols>
    <col min="1" max="1" width="12" bestFit="1" customWidth="1"/>
    <col min="2" max="2" width="15.90625" customWidth="1"/>
    <col min="3" max="3" width="13.54296875" customWidth="1"/>
    <col min="4" max="4" width="14.7265625" customWidth="1"/>
    <col min="5" max="5" width="12.36328125" customWidth="1"/>
    <col min="6" max="6" width="14.6328125" customWidth="1"/>
    <col min="7" max="7" width="13.7265625" bestFit="1" customWidth="1"/>
    <col min="8" max="8" width="14.36328125" customWidth="1"/>
    <col min="9" max="9" width="18.36328125" customWidth="1"/>
    <col min="10" max="10" width="20.54296875" customWidth="1"/>
  </cols>
  <sheetData>
    <row r="1" spans="1:10" x14ac:dyDescent="0.35">
      <c r="A1" t="s">
        <v>40</v>
      </c>
      <c r="B1" t="s">
        <v>90</v>
      </c>
      <c r="C1" t="s">
        <v>91</v>
      </c>
      <c r="D1" t="s">
        <v>75</v>
      </c>
      <c r="E1" t="s">
        <v>84</v>
      </c>
      <c r="F1" t="s">
        <v>23</v>
      </c>
      <c r="G1" t="s">
        <v>24</v>
      </c>
      <c r="H1" t="s">
        <v>92</v>
      </c>
      <c r="I1" t="s">
        <v>93</v>
      </c>
      <c r="J1" t="s">
        <v>94</v>
      </c>
    </row>
    <row r="2" spans="1:10" x14ac:dyDescent="0.35">
      <c r="A2" t="s">
        <v>80</v>
      </c>
      <c r="B2">
        <v>15000</v>
      </c>
      <c r="C2">
        <v>14500</v>
      </c>
      <c r="D2" s="21">
        <v>300</v>
      </c>
      <c r="E2" s="21">
        <v>330</v>
      </c>
      <c r="F2" s="21">
        <f>B2*D2</f>
        <v>4500000</v>
      </c>
      <c r="G2" s="21">
        <f>C2*E2</f>
        <v>4785000</v>
      </c>
      <c r="H2" s="21">
        <f>C2*(D2-E2)</f>
        <v>-435000</v>
      </c>
      <c r="I2" s="21">
        <f>D2*(B2-C2)</f>
        <v>150000</v>
      </c>
      <c r="J2" s="21">
        <f>F2-G2</f>
        <v>-285000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6FC88-884E-4FC3-8815-03D7A667BD83}">
  <dimension ref="A1:I2"/>
  <sheetViews>
    <sheetView workbookViewId="0">
      <selection activeCell="E11" sqref="E11"/>
    </sheetView>
  </sheetViews>
  <sheetFormatPr defaultRowHeight="14.5" x14ac:dyDescent="0.35"/>
  <cols>
    <col min="1" max="1" width="16.36328125" bestFit="1" customWidth="1"/>
    <col min="2" max="2" width="15.90625" customWidth="1"/>
    <col min="3" max="3" width="13.54296875" customWidth="1"/>
    <col min="4" max="4" width="14.7265625" customWidth="1"/>
    <col min="5" max="5" width="19.08984375" customWidth="1"/>
    <col min="6" max="6" width="16.7265625" customWidth="1"/>
    <col min="7" max="7" width="12.6328125" bestFit="1" customWidth="1"/>
    <col min="8" max="8" width="20.7265625" customWidth="1"/>
    <col min="9" max="9" width="18.36328125" customWidth="1"/>
  </cols>
  <sheetData>
    <row r="1" spans="1:9" x14ac:dyDescent="0.35">
      <c r="A1" t="s">
        <v>41</v>
      </c>
      <c r="B1" t="s">
        <v>90</v>
      </c>
      <c r="C1" t="s">
        <v>91</v>
      </c>
      <c r="D1" t="s">
        <v>75</v>
      </c>
      <c r="E1" t="s">
        <v>95</v>
      </c>
      <c r="F1" t="s">
        <v>96</v>
      </c>
      <c r="G1" t="s">
        <v>86</v>
      </c>
      <c r="H1" t="s">
        <v>97</v>
      </c>
      <c r="I1" t="s">
        <v>93</v>
      </c>
    </row>
    <row r="2" spans="1:9" x14ac:dyDescent="0.35">
      <c r="A2" t="s">
        <v>81</v>
      </c>
      <c r="B2">
        <v>15000</v>
      </c>
      <c r="C2">
        <v>14500</v>
      </c>
      <c r="D2" s="21">
        <v>125</v>
      </c>
      <c r="E2" s="21">
        <f>B2*D2</f>
        <v>1875000</v>
      </c>
      <c r="F2" s="21">
        <v>1775000</v>
      </c>
      <c r="G2" s="21">
        <f>E2-F2</f>
        <v>100000</v>
      </c>
      <c r="H2" s="21">
        <f>(C2*D2)-F2</f>
        <v>37500</v>
      </c>
      <c r="I2" s="21">
        <f>D2*(B2-C2)</f>
        <v>62500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B57C-F4C9-4317-9D08-E244F999BEE0}">
  <dimension ref="A1:D21"/>
  <sheetViews>
    <sheetView workbookViewId="0">
      <selection activeCell="E16" sqref="E16"/>
    </sheetView>
  </sheetViews>
  <sheetFormatPr defaultRowHeight="14.5" x14ac:dyDescent="0.35"/>
  <cols>
    <col min="1" max="1" width="23" customWidth="1"/>
    <col min="2" max="3" width="16.1796875" bestFit="1" customWidth="1"/>
    <col min="4" max="4" width="14.36328125" bestFit="1" customWidth="1"/>
  </cols>
  <sheetData>
    <row r="1" spans="1:4" x14ac:dyDescent="0.35">
      <c r="A1" t="s">
        <v>98</v>
      </c>
      <c r="B1" t="s">
        <v>23</v>
      </c>
      <c r="C1" t="s">
        <v>24</v>
      </c>
      <c r="D1" t="s">
        <v>87</v>
      </c>
    </row>
    <row r="2" spans="1:4" x14ac:dyDescent="0.35">
      <c r="A2" t="s">
        <v>39</v>
      </c>
      <c r="B2" s="21">
        <f>'05 Material Variance'!F5</f>
        <v>127500000</v>
      </c>
      <c r="C2" s="21">
        <f>'05 Material Variance'!G5</f>
        <v>130580000</v>
      </c>
      <c r="D2" s="21">
        <f>B2-C2</f>
        <v>-3080000</v>
      </c>
    </row>
    <row r="3" spans="1:4" x14ac:dyDescent="0.35">
      <c r="A3" t="s">
        <v>80</v>
      </c>
      <c r="B3" s="21" cm="1">
        <f t="array" ref="B3">Table7[Standard Cost]</f>
        <v>4500000</v>
      </c>
      <c r="C3" s="21" cm="1">
        <f t="array" ref="C3">Table7[Actual Cost]</f>
        <v>4785000</v>
      </c>
      <c r="D3" s="21">
        <f t="shared" ref="D3:D5" si="0">B3-C3</f>
        <v>-285000</v>
      </c>
    </row>
    <row r="4" spans="1:4" x14ac:dyDescent="0.35">
      <c r="A4" t="s">
        <v>81</v>
      </c>
      <c r="B4" s="21" cm="1">
        <f t="array" ref="B4">Table4[Standard Overhead]</f>
        <v>1875000</v>
      </c>
      <c r="C4" s="21" cm="1">
        <f t="array" ref="C4">Table4[Actual Overhead]</f>
        <v>1775000</v>
      </c>
      <c r="D4" s="21">
        <f t="shared" si="0"/>
        <v>100000</v>
      </c>
    </row>
    <row r="5" spans="1:4" x14ac:dyDescent="0.35">
      <c r="A5" s="4" t="s">
        <v>85</v>
      </c>
      <c r="B5" s="21">
        <f>SUM(B2:B4)</f>
        <v>133875000</v>
      </c>
      <c r="C5" s="21">
        <f>SUM(C2:C4)</f>
        <v>137140000</v>
      </c>
      <c r="D5" s="21">
        <f t="shared" si="0"/>
        <v>-3265000</v>
      </c>
    </row>
    <row r="8" spans="1:4" x14ac:dyDescent="0.35">
      <c r="A8" s="17"/>
      <c r="B8" s="18"/>
      <c r="C8" s="17"/>
    </row>
    <row r="9" spans="1:4" x14ac:dyDescent="0.35">
      <c r="A9" s="2" t="s">
        <v>99</v>
      </c>
      <c r="B9" s="8" t="s">
        <v>100</v>
      </c>
      <c r="C9" s="2" t="s">
        <v>101</v>
      </c>
    </row>
    <row r="10" spans="1:4" x14ac:dyDescent="0.35">
      <c r="A10" s="1" t="s">
        <v>102</v>
      </c>
      <c r="B10" s="20">
        <f>ABS(D2)</f>
        <v>3080000</v>
      </c>
      <c r="C10" s="1" t="s">
        <v>103</v>
      </c>
    </row>
    <row r="11" spans="1:4" x14ac:dyDescent="0.35">
      <c r="A11" s="1" t="s">
        <v>104</v>
      </c>
      <c r="B11" s="20">
        <f>ABS(D3)</f>
        <v>285000</v>
      </c>
      <c r="C11" s="1" t="s">
        <v>103</v>
      </c>
    </row>
    <row r="12" spans="1:4" x14ac:dyDescent="0.35">
      <c r="A12" s="1" t="s">
        <v>105</v>
      </c>
      <c r="B12" s="20">
        <f t="shared" ref="B12" si="1">D4</f>
        <v>100000</v>
      </c>
      <c r="C12" s="1" t="s">
        <v>106</v>
      </c>
    </row>
    <row r="13" spans="1:4" x14ac:dyDescent="0.35">
      <c r="A13" s="2" t="s">
        <v>107</v>
      </c>
      <c r="B13" s="22">
        <f>ABS(D5)</f>
        <v>3265000</v>
      </c>
      <c r="C13" s="2" t="s">
        <v>103</v>
      </c>
    </row>
    <row r="16" spans="1:4" x14ac:dyDescent="0.35">
      <c r="A16" s="4" t="s">
        <v>108</v>
      </c>
      <c r="B16" t="s">
        <v>101</v>
      </c>
    </row>
    <row r="17" spans="1:2" x14ac:dyDescent="0.35">
      <c r="A17" t="s">
        <v>23</v>
      </c>
      <c r="B17" s="21">
        <f>B5</f>
        <v>133875000</v>
      </c>
    </row>
    <row r="18" spans="1:2" x14ac:dyDescent="0.35">
      <c r="A18" t="s">
        <v>24</v>
      </c>
      <c r="B18" s="21">
        <f>C5</f>
        <v>137140000</v>
      </c>
    </row>
    <row r="19" spans="1:2" x14ac:dyDescent="0.35">
      <c r="A19" t="s">
        <v>109</v>
      </c>
      <c r="B19" s="21">
        <f>B17-B18</f>
        <v>-3265000</v>
      </c>
    </row>
    <row r="20" spans="1:2" x14ac:dyDescent="0.35">
      <c r="A20" t="s">
        <v>110</v>
      </c>
      <c r="B20" s="21">
        <f>ABS(B19)</f>
        <v>3265000</v>
      </c>
    </row>
    <row r="21" spans="1:2" x14ac:dyDescent="0.35">
      <c r="A21" t="s">
        <v>111</v>
      </c>
      <c r="B21" t="str">
        <f>IF(B20=3265000,"CHECK PASSED","CHECK FAILED")</f>
        <v>CHECK PASSED</v>
      </c>
    </row>
  </sheetData>
  <conditionalFormatting sqref="B21">
    <cfRule type="cellIs" dxfId="1" priority="1" operator="equal">
      <formula>"CHECK FAILED"</formula>
    </cfRule>
    <cfRule type="cellIs" dxfId="0" priority="2" operator="equal">
      <formula>"CHECK PASSED"</formula>
    </cfRule>
  </conditionalFormatting>
  <pageMargins left="0.7" right="0.7" top="0.75" bottom="0.75" header="0.3" footer="0.3"/>
  <ignoredErrors>
    <ignoredError sqref="B13" calculatedColumn="1"/>
  </ignoredErrors>
  <tableParts count="3">
    <tablePart r:id="rId1"/>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464D6-D66C-4B0E-A369-3500EE6D1B30}">
  <dimension ref="A1:H36"/>
  <sheetViews>
    <sheetView workbookViewId="0">
      <selection activeCell="I7" sqref="I7"/>
    </sheetView>
  </sheetViews>
  <sheetFormatPr defaultRowHeight="14.5" x14ac:dyDescent="0.35"/>
  <cols>
    <col min="1" max="1" width="16.36328125" bestFit="1" customWidth="1"/>
    <col min="2" max="2" width="16.1796875" bestFit="1" customWidth="1"/>
    <col min="3" max="3" width="16.453125" customWidth="1"/>
    <col min="4" max="4" width="17.81640625" customWidth="1"/>
    <col min="5" max="5" width="14.453125" bestFit="1" customWidth="1"/>
    <col min="6" max="6" width="14.7265625" customWidth="1"/>
    <col min="7" max="7" width="15.7265625" bestFit="1" customWidth="1"/>
  </cols>
  <sheetData>
    <row r="1" spans="1:8" ht="15.5" x14ac:dyDescent="0.35">
      <c r="A1" s="38" t="s">
        <v>112</v>
      </c>
      <c r="B1" s="38"/>
      <c r="C1" s="38"/>
      <c r="D1" s="38"/>
      <c r="E1" s="38"/>
      <c r="F1" s="38"/>
    </row>
    <row r="2" spans="1:8" ht="15.5" x14ac:dyDescent="0.35">
      <c r="A2" s="39" t="s">
        <v>113</v>
      </c>
      <c r="B2" s="39"/>
      <c r="C2" s="39"/>
      <c r="D2" s="39"/>
      <c r="E2" s="39"/>
      <c r="F2" s="39"/>
    </row>
    <row r="3" spans="1:8" ht="15" thickBot="1" x14ac:dyDescent="0.4"/>
    <row r="4" spans="1:8" x14ac:dyDescent="0.35">
      <c r="A4" s="45" t="s">
        <v>23</v>
      </c>
      <c r="B4" s="45"/>
      <c r="C4" s="41" t="s">
        <v>24</v>
      </c>
      <c r="D4" s="41"/>
      <c r="E4" s="41" t="s">
        <v>107</v>
      </c>
      <c r="F4" s="41"/>
      <c r="G4" s="41" t="s">
        <v>114</v>
      </c>
      <c r="H4" s="41"/>
    </row>
    <row r="5" spans="1:8" x14ac:dyDescent="0.35">
      <c r="A5" s="46">
        <f>'08 Variance Summary'!B5</f>
        <v>133875000</v>
      </c>
      <c r="B5" s="46"/>
      <c r="C5" s="42">
        <f>'08 Variance Summary'!C5</f>
        <v>137140000</v>
      </c>
      <c r="D5" s="42"/>
      <c r="E5" s="42">
        <f>ABS('08 Variance Summary'!D5)</f>
        <v>3265000</v>
      </c>
      <c r="F5" s="42"/>
      <c r="G5" s="42">
        <f>ABS(E5)/1000</f>
        <v>3265</v>
      </c>
      <c r="H5" s="42"/>
    </row>
    <row r="6" spans="1:8" ht="15" thickBot="1" x14ac:dyDescent="0.4">
      <c r="A6" s="44"/>
      <c r="B6" s="44"/>
      <c r="C6" s="43"/>
      <c r="D6" s="43"/>
      <c r="E6" s="43" t="s">
        <v>141</v>
      </c>
      <c r="F6" s="43"/>
      <c r="G6" s="43" t="s">
        <v>141</v>
      </c>
      <c r="H6" s="43"/>
    </row>
    <row r="7" spans="1:8" x14ac:dyDescent="0.35">
      <c r="A7" s="17"/>
      <c r="B7" s="18"/>
      <c r="C7" s="18"/>
      <c r="E7" s="17"/>
      <c r="F7" s="18"/>
      <c r="G7" s="17"/>
    </row>
    <row r="8" spans="1:8" x14ac:dyDescent="0.35">
      <c r="A8" s="19" t="s">
        <v>98</v>
      </c>
      <c r="B8" s="19" t="s">
        <v>23</v>
      </c>
      <c r="C8" s="19" t="s">
        <v>24</v>
      </c>
      <c r="E8" s="19" t="s">
        <v>98</v>
      </c>
      <c r="F8" s="19" t="s">
        <v>86</v>
      </c>
      <c r="G8" s="19" t="s">
        <v>115</v>
      </c>
    </row>
    <row r="9" spans="1:8" x14ac:dyDescent="0.35">
      <c r="A9" s="1" t="s">
        <v>39</v>
      </c>
      <c r="B9" s="20">
        <f>'08 Variance Summary'!B2</f>
        <v>127500000</v>
      </c>
      <c r="C9" s="20">
        <f>'08 Variance Summary'!C2</f>
        <v>130580000</v>
      </c>
      <c r="E9" s="1" t="s">
        <v>39</v>
      </c>
      <c r="F9" s="20">
        <f>'08 Variance Summary'!D2</f>
        <v>-3080000</v>
      </c>
      <c r="G9" s="1" t="s">
        <v>103</v>
      </c>
    </row>
    <row r="10" spans="1:8" x14ac:dyDescent="0.35">
      <c r="A10" s="1" t="s">
        <v>80</v>
      </c>
      <c r="B10" s="20">
        <f>'08 Variance Summary'!B3</f>
        <v>4500000</v>
      </c>
      <c r="C10" s="20">
        <f>'08 Variance Summary'!C3</f>
        <v>4785000</v>
      </c>
      <c r="E10" s="1" t="s">
        <v>40</v>
      </c>
      <c r="F10" s="20">
        <f>'08 Variance Summary'!D3</f>
        <v>-285000</v>
      </c>
      <c r="G10" s="1" t="s">
        <v>103</v>
      </c>
    </row>
    <row r="11" spans="1:8" x14ac:dyDescent="0.35">
      <c r="A11" s="1" t="s">
        <v>81</v>
      </c>
      <c r="B11" s="20">
        <f>'08 Variance Summary'!B4</f>
        <v>1875000</v>
      </c>
      <c r="C11" s="20">
        <f>'08 Variance Summary'!C4</f>
        <v>1775000</v>
      </c>
      <c r="E11" s="1" t="s">
        <v>41</v>
      </c>
      <c r="F11" s="20">
        <f>'08 Variance Summary'!D4</f>
        <v>100000</v>
      </c>
      <c r="G11" s="1" t="s">
        <v>106</v>
      </c>
    </row>
    <row r="29" spans="1:7" x14ac:dyDescent="0.35">
      <c r="A29" s="4" t="s">
        <v>116</v>
      </c>
    </row>
    <row r="30" spans="1:7" x14ac:dyDescent="0.35">
      <c r="A30" s="40" t="s">
        <v>117</v>
      </c>
      <c r="B30" s="40"/>
      <c r="C30" s="40"/>
      <c r="D30" s="40"/>
    </row>
    <row r="31" spans="1:7" x14ac:dyDescent="0.35">
      <c r="A31" s="40" t="s">
        <v>118</v>
      </c>
      <c r="B31" s="40"/>
      <c r="C31" s="40"/>
      <c r="D31" s="40"/>
      <c r="E31" s="40"/>
      <c r="F31" s="40"/>
      <c r="G31" s="40"/>
    </row>
    <row r="32" spans="1:7" x14ac:dyDescent="0.35">
      <c r="A32" s="40" t="s">
        <v>119</v>
      </c>
      <c r="B32" s="40"/>
      <c r="C32" s="40"/>
    </row>
    <row r="33" spans="1:7" x14ac:dyDescent="0.35">
      <c r="A33" s="40" t="s">
        <v>120</v>
      </c>
      <c r="B33" s="40"/>
      <c r="C33" s="40"/>
      <c r="D33" s="40"/>
      <c r="E33" s="40"/>
    </row>
    <row r="36" spans="1:7" ht="41.5" customHeight="1" x14ac:dyDescent="0.35">
      <c r="A36" s="47" t="s">
        <v>121</v>
      </c>
      <c r="B36" s="40"/>
      <c r="C36" s="40"/>
      <c r="D36" s="40"/>
      <c r="E36" s="40"/>
      <c r="F36" s="40"/>
      <c r="G36" s="40"/>
    </row>
  </sheetData>
  <mergeCells count="19">
    <mergeCell ref="E5:F5"/>
    <mergeCell ref="A33:E33"/>
    <mergeCell ref="A36:G36"/>
    <mergeCell ref="A1:F1"/>
    <mergeCell ref="A2:F2"/>
    <mergeCell ref="A30:D30"/>
    <mergeCell ref="A31:G31"/>
    <mergeCell ref="A32:C32"/>
    <mergeCell ref="G4:H4"/>
    <mergeCell ref="G5:H5"/>
    <mergeCell ref="E6:F6"/>
    <mergeCell ref="G6:H6"/>
    <mergeCell ref="A6:B6"/>
    <mergeCell ref="C6:D6"/>
    <mergeCell ref="A4:B4"/>
    <mergeCell ref="A5:B5"/>
    <mergeCell ref="C4:D4"/>
    <mergeCell ref="C5:D5"/>
    <mergeCell ref="E4:F4"/>
  </mergeCells>
  <pageMargins left="0.7" right="0.7" top="0.75" bottom="0.75" header="0.3" footer="0.3"/>
  <pageSetup orientation="portrait" r:id="rId1"/>
  <drawing r:id="rId2"/>
  <tableParts count="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01 Project Info</vt:lpstr>
      <vt:lpstr>02 Assumption &amp; Sources</vt:lpstr>
      <vt:lpstr>03 Standard Cost</vt:lpstr>
      <vt:lpstr>04 Actual Cost</vt:lpstr>
      <vt:lpstr>05 Material Variance</vt:lpstr>
      <vt:lpstr>06 Labour Variance</vt:lpstr>
      <vt:lpstr>07 Overhead Variance</vt:lpstr>
      <vt:lpstr>08 Variance Summary</vt:lpstr>
      <vt:lpstr>09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nihalika yadav</dc:creator>
  <cp:lastModifiedBy>nihalika yadav</cp:lastModifiedBy>
  <dcterms:created xsi:type="dcterms:W3CDTF">2026-08-14T14:36:12Z</dcterms:created>
  <dcterms:modified xsi:type="dcterms:W3CDTF">2026-08-15T14:17:02Z</dcterms:modified>
</cp:coreProperties>
</file>